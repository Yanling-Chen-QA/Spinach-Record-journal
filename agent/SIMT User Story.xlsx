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codeName="ThisWorkbook"/>
  <mc:AlternateContent xmlns:mc="http://schemas.openxmlformats.org/markup-compatibility/2006">
    <mc:Choice Requires="x15">
      <x15ac:absPath xmlns:x15ac="http://schemas.microsoft.com/office/spreadsheetml/2010/11/ac" url="https://wiley.sharepoint.com/teams/ChinaTechnologyQA/Shared Documents/General/Project/"/>
    </mc:Choice>
  </mc:AlternateContent>
  <xr:revisionPtr revIDLastSave="0" documentId="8_{206656B4-D110-4B16-BC30-BE45F45ED7A4}" xr6:coauthVersionLast="47" xr6:coauthVersionMax="47" xr10:uidLastSave="{00000000-0000-0000-0000-000000000000}"/>
  <bookViews>
    <workbookView xWindow="28680" yWindow="-6195" windowWidth="29040" windowHeight="15720" tabRatio="622" firstSheet="2" activeTab="3" xr2:uid="{00000000-000D-0000-FFFF-FFFF00000000}"/>
  </bookViews>
  <sheets>
    <sheet name="JQL" sheetId="15" r:id="rId1"/>
    <sheet name="Summary" sheetId="11" r:id="rId2"/>
    <sheet name="FY27Q1" sheetId="16" r:id="rId3"/>
    <sheet name="FY26Q4" sheetId="14" r:id="rId4"/>
    <sheet name="FY26Q3" sheetId="13" r:id="rId5"/>
    <sheet name="FY26Q2" sheetId="12" r:id="rId6"/>
    <sheet name="FY26Q1" sheetId="10" r:id="rId7"/>
    <sheet name="FY25Q4" sheetId="9" r:id="rId8"/>
    <sheet name="FY25Q3" sheetId="8" r:id="rId9"/>
    <sheet name="FY25Q2" sheetId="6" r:id="rId10"/>
    <sheet name="FY25Q1" sheetId="2" r:id="rId11"/>
    <sheet name="Tech_debt" sheetId="3" r:id="rId12"/>
  </sheets>
  <definedNames>
    <definedName name="_xlnm._FilterDatabase" localSheetId="10" hidden="1">FY25Q1!$A$1:$L$75</definedName>
    <definedName name="_xlnm._FilterDatabase" localSheetId="9" hidden="1">FY25Q2!$A$1:$K$86</definedName>
    <definedName name="_xlnm._FilterDatabase" localSheetId="8" hidden="1">FY25Q3!$A$1:$K$114</definedName>
    <definedName name="_xlnm._FilterDatabase" localSheetId="7" hidden="1">FY25Q4!$A$1:$I$116</definedName>
    <definedName name="_xlnm._FilterDatabase" localSheetId="6" hidden="1">FY26Q1!$A$1:$I$75</definedName>
    <definedName name="_xlnm._FilterDatabase" localSheetId="5" hidden="1">FY26Q2!$A$1:$O$64</definedName>
    <definedName name="_xlnm._FilterDatabase" localSheetId="4" hidden="1">FY26Q3!$A$1:$M$66</definedName>
    <definedName name="_xlnm._FilterDatabase" localSheetId="11" hidden="1">Tech_debt!$A$1:$I$43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11" l="1"/>
  <c r="B61" i="2"/>
  <c r="F55" i="2"/>
  <c r="D54" i="2"/>
  <c r="C43" i="3"/>
  <c r="G47" i="3"/>
  <c r="C70" i="2"/>
  <c r="G50" i="3"/>
  <c r="F62" i="2"/>
  <c r="F63" i="2"/>
  <c r="F64" i="2"/>
  <c r="F61" i="2"/>
</calcChain>
</file>

<file path=xl/sharedStrings.xml><?xml version="1.0" encoding="utf-8"?>
<sst xmlns="http://schemas.openxmlformats.org/spreadsheetml/2006/main" count="3198" uniqueCount="1583">
  <si>
    <t>Issue Type</t>
  </si>
  <si>
    <t>Key</t>
  </si>
  <si>
    <t>Summary</t>
  </si>
  <si>
    <t>Assignee</t>
  </si>
  <si>
    <t>Priority</t>
  </si>
  <si>
    <t>Status</t>
  </si>
  <si>
    <t>Resolution</t>
  </si>
  <si>
    <t>Task</t>
  </si>
  <si>
    <t>CT-14110</t>
  </si>
  <si>
    <t>Automation task_Sameera Sprint1</t>
  </si>
  <si>
    <t>Sameera De Silva</t>
  </si>
  <si>
    <t>Medium</t>
  </si>
  <si>
    <t>Ready for Planning</t>
  </si>
  <si>
    <t>CT-14074</t>
  </si>
  <si>
    <t>Automation task_Winky</t>
  </si>
  <si>
    <t>Winky Nan</t>
  </si>
  <si>
    <t>CT-14069</t>
  </si>
  <si>
    <t>Automation task_Lily_Sprint1</t>
  </si>
  <si>
    <t>Lily Tian</t>
  </si>
  <si>
    <t>CT-14042</t>
  </si>
  <si>
    <t>FY27Q1 Sprint1 Prod Support</t>
  </si>
  <si>
    <t>Priyanga Arachchi</t>
  </si>
  <si>
    <t>P3 (Normal)</t>
  </si>
  <si>
    <t>CT-14015</t>
  </si>
  <si>
    <t>Optimize of Dates of filter panel on overview pages (SI/SIP/GSI/GSIP)</t>
  </si>
  <si>
    <t>Elwin Sun</t>
  </si>
  <si>
    <t>High</t>
  </si>
  <si>
    <t>CT-13948</t>
  </si>
  <si>
    <t>Upgrade Spring boot to 4.0.5</t>
  </si>
  <si>
    <t>Kexin Guo</t>
  </si>
  <si>
    <t>CT-13914</t>
  </si>
  <si>
    <t>Optimize of Dates of Generic SIP detail page</t>
  </si>
  <si>
    <t>Story</t>
  </si>
  <si>
    <t>CT-13869</t>
  </si>
  <si>
    <t>[Research] Technical design of Async API for SIP Events API</t>
  </si>
  <si>
    <t>Minor</t>
  </si>
  <si>
    <t>CT-13824</t>
  </si>
  <si>
    <t>(Generic) Add SIP code to SI details page</t>
  </si>
  <si>
    <t>CT-13758</t>
  </si>
  <si>
    <t>Update Publication detail headers</t>
  </si>
  <si>
    <t>Wenxi Li</t>
  </si>
  <si>
    <t>CT-13406</t>
  </si>
  <si>
    <t>Export Unpublished or Open SIs Acquired Before 6 March 2025</t>
  </si>
  <si>
    <t>Aradhana Mistry</t>
  </si>
  <si>
    <t>To Do</t>
  </si>
  <si>
    <t>CT-13235</t>
  </si>
  <si>
    <t>SIP source tracking</t>
  </si>
  <si>
    <t>Yuxin Wang</t>
  </si>
  <si>
    <t>CT-10354</t>
  </si>
  <si>
    <t>Generic Workflow - GE Information link to GE Details page</t>
  </si>
  <si>
    <t>Sprint</t>
  </si>
  <si>
    <t>Date</t>
  </si>
  <si>
    <t>Story Count (need testing)</t>
  </si>
  <si>
    <t>New Test Case Count</t>
  </si>
  <si>
    <t>Test Run Cases Count (it may include regression cases)</t>
  </si>
  <si>
    <t>Submitted Bug Count</t>
  </si>
  <si>
    <t>Story Points</t>
  </si>
  <si>
    <t>Working days</t>
  </si>
  <si>
    <t>FY26 Q1 - Sprint 1</t>
  </si>
  <si>
    <t>4.30-5.14</t>
  </si>
  <si>
    <t>&lt;=0.5 days</t>
  </si>
  <si>
    <t>FY26 Q1 - Sprint 2</t>
  </si>
  <si>
    <t>5.14-5.28</t>
  </si>
  <si>
    <t>&gt; 0.5 day and &lt;=1 days</t>
  </si>
  <si>
    <t>FY26 Q1 - Sprint 3</t>
  </si>
  <si>
    <t>5.28-6.11</t>
  </si>
  <si>
    <t>&gt; 1 day and &lt;=3 days</t>
  </si>
  <si>
    <t>FY26 Q1 - Sprint 4</t>
  </si>
  <si>
    <t>6.11-6.25</t>
  </si>
  <si>
    <t>&gt; 3 day and &lt;=6 days</t>
  </si>
  <si>
    <t>FY26 Q1 - Sprint 5</t>
  </si>
  <si>
    <t>6.25-7.9</t>
  </si>
  <si>
    <t xml:space="preserve">&gt; 6 day and &lt;=10 days </t>
  </si>
  <si>
    <t>FY26 Q1 - Sprint 6</t>
  </si>
  <si>
    <t>7.9-7.23</t>
  </si>
  <si>
    <t>July 17th release UAT</t>
  </si>
  <si>
    <t>7.9-7.16</t>
  </si>
  <si>
    <t>August 7th release UAT</t>
  </si>
  <si>
    <t>7.25-7.29</t>
  </si>
  <si>
    <t>FY26 Q2 - Sprint 1</t>
  </si>
  <si>
    <t>8.07-8.13</t>
  </si>
  <si>
    <t>August 21st release UAT</t>
  </si>
  <si>
    <t>8.13-8.15</t>
  </si>
  <si>
    <t>FY26 Q2 - Sprint 2</t>
  </si>
  <si>
    <t>8.22-8.27</t>
  </si>
  <si>
    <t>FY26 Q2 - Sprint 3</t>
  </si>
  <si>
    <t>8.22-9.10</t>
  </si>
  <si>
    <t>FY26 Q2 - Sprint 4</t>
  </si>
  <si>
    <t>9.10-9.24</t>
  </si>
  <si>
    <t>FY26 Q2 - Sprint 5</t>
  </si>
  <si>
    <t>9.24-10.8</t>
  </si>
  <si>
    <t>FY26 Q2 - Sprint 6</t>
  </si>
  <si>
    <t>10.9-10.22</t>
  </si>
  <si>
    <t>FY26Q3 - Sprint 1</t>
  </si>
  <si>
    <t>10.29-11.12</t>
  </si>
  <si>
    <t>FY26Q3 - Sprint 2</t>
  </si>
  <si>
    <t>11.12-11.25</t>
  </si>
  <si>
    <t>FY26Q3 - Sprint 3</t>
  </si>
  <si>
    <t>11.26-12.09</t>
  </si>
  <si>
    <t>FY26Q3 - Sprint 4</t>
  </si>
  <si>
    <t>12.20-12.23</t>
  </si>
  <si>
    <t>FY26Q3 - Sprint 5</t>
  </si>
  <si>
    <t>1. 6-1. 20</t>
  </si>
  <si>
    <t>FY26Q3- UAT Multi</t>
  </si>
  <si>
    <t>1.20-1.22</t>
  </si>
  <si>
    <t>JIRA Query</t>
  </si>
  <si>
    <t xml:space="preserve">Bug - Sprint </t>
  </si>
  <si>
    <t>Follow</t>
  </si>
  <si>
    <t>Time</t>
  </si>
  <si>
    <t>Type</t>
  </si>
  <si>
    <t>ID</t>
  </si>
  <si>
    <t>Title</t>
  </si>
  <si>
    <t>DEV SP</t>
  </si>
  <si>
    <t>QA Man days</t>
  </si>
  <si>
    <t>Automated</t>
  </si>
  <si>
    <t>Comments</t>
  </si>
  <si>
    <t>Sprint1</t>
  </si>
  <si>
    <t>April 29-May 12</t>
  </si>
  <si>
    <t>Sameera</t>
  </si>
  <si>
    <t>Lily</t>
  </si>
  <si>
    <t>Winky</t>
  </si>
  <si>
    <t>Chanaka</t>
  </si>
  <si>
    <t>Sprint2</t>
  </si>
  <si>
    <t>May 13-May 26</t>
  </si>
  <si>
    <t>CT-14060</t>
  </si>
  <si>
    <t>Generic - SIP Details - Create - SIP Supplementary Files Section</t>
  </si>
  <si>
    <t>CT-14058</t>
  </si>
  <si>
    <t>SCA SIP Overview page optimize</t>
  </si>
  <si>
    <t>CT-14057</t>
  </si>
  <si>
    <t>Update the periodical job health email and add correct developer email in the recipent list</t>
  </si>
  <si>
    <t>CT-13985</t>
  </si>
  <si>
    <t>SCA - Notification emails for EBM review progress</t>
  </si>
  <si>
    <t>CT-13982</t>
  </si>
  <si>
    <t>SCA - EBM Review Panel - Always open and editable</t>
  </si>
  <si>
    <t>CT-13959</t>
  </si>
  <si>
    <t>Generic - Notification emails for 'completion' of JE review</t>
  </si>
  <si>
    <t>CT-13907</t>
  </si>
  <si>
    <t>Generic - Notification emails for EBM review progress</t>
  </si>
  <si>
    <t>CT-13880</t>
  </si>
  <si>
    <t>CLONE - [Impl] SI Event sending - deleting</t>
  </si>
  <si>
    <t>CT-13876</t>
  </si>
  <si>
    <t>[Impl] SIP Event sending - updating</t>
  </si>
  <si>
    <t>CT-13871</t>
  </si>
  <si>
    <t xml:space="preserve"> [Impl] SIP Event sending - creation</t>
  </si>
  <si>
    <t>CT-13868</t>
  </si>
  <si>
    <t>[Impl] Generic SIP Event sending - deleting</t>
  </si>
  <si>
    <t>CT-13865</t>
  </si>
  <si>
    <t>CLONE - Generic SIP Kafka Topic creation and connectivity testing for all envs</t>
  </si>
  <si>
    <t>CT-13411</t>
  </si>
  <si>
    <t>Test Curate Events to Ensure SI Records Now Include the ReX‑Review UUID</t>
  </si>
  <si>
    <t>CT-13410</t>
  </si>
  <si>
    <t>Update Curate SI Record UUID Using Matched Review SI UUIDs</t>
  </si>
  <si>
    <t>CT-12556</t>
  </si>
  <si>
    <t>Generic/SCA- Notify Stakeholders After GE Invitation Response</t>
  </si>
  <si>
    <t>CT-7447</t>
  </si>
  <si>
    <t>SCA solicited &amp; Unsolicited Workflow - SIP Details - Create - SIP Supplementary Files Section</t>
  </si>
  <si>
    <t>Sprint3</t>
  </si>
  <si>
    <t>May 26- June 9</t>
  </si>
  <si>
    <t>CT-14022</t>
  </si>
  <si>
    <t>SCA - Remove LGE add/remove GE permissions at revision unless origin is ideation</t>
  </si>
  <si>
    <t>CT-14011</t>
  </si>
  <si>
    <t>Perf tuning - api- getSpeicalIssueBySiCode</t>
  </si>
  <si>
    <t>CT-13989</t>
  </si>
  <si>
    <t>Add production details back into email templates</t>
  </si>
  <si>
    <t>CT-13988</t>
  </si>
  <si>
    <t>Populate production details in exported data</t>
  </si>
  <si>
    <t>CT-13987</t>
  </si>
  <si>
    <t>Populate production details in SI/P details page from RPM</t>
  </si>
  <si>
    <t>CT-13986</t>
  </si>
  <si>
    <t>Consume PM and production office contact</t>
  </si>
  <si>
    <t>CT-13983</t>
  </si>
  <si>
    <t>Allow EBMs to be re-invited after revision</t>
  </si>
  <si>
    <t>CT-13981</t>
  </si>
  <si>
    <t>SCA/Generic - Refine EBM Review Comments display and interaction</t>
  </si>
  <si>
    <t>CT-13971</t>
  </si>
  <si>
    <t>6. Allow Curation Type to be edited up to acquisition with GE re‑screening</t>
  </si>
  <si>
    <t>CT-13970</t>
  </si>
  <si>
    <t>7. Maintain collection handling functionality on SSIP flow</t>
  </si>
  <si>
    <t>CT-13969</t>
  </si>
  <si>
    <t>3. Remove Guest Editor section for Thematic Issues and Collections</t>
  </si>
  <si>
    <t>CT-13910</t>
  </si>
  <si>
    <t xml:space="preserve">GE details should be blank in SI/SIP overview dashboards where curation type = thematic issue </t>
  </si>
  <si>
    <t>CT-13909</t>
  </si>
  <si>
    <t>Allow filtering on Curation type from SIP/SI overview dashboard</t>
  </si>
  <si>
    <t>CT-13905</t>
  </si>
  <si>
    <t>4. Suppress GE‑specific communications for GE‑free curation</t>
  </si>
  <si>
    <t>CT-13904</t>
  </si>
  <si>
    <t>5. Revision decision is disabled if curation type = thematic issue</t>
  </si>
  <si>
    <t>CT-13903</t>
  </si>
  <si>
    <t>2. GE checks should not be shown/required when curation type=thematic issue/collection</t>
  </si>
  <si>
    <t>CT-13902</t>
  </si>
  <si>
    <t>1. Move curation type input to Ideation stage and editable in stages following</t>
  </si>
  <si>
    <t>CT-13234</t>
  </si>
  <si>
    <t>Exclude Personal Data from GE Overview Page Export</t>
  </si>
  <si>
    <t>CT-13232</t>
  </si>
  <si>
    <t>Exclude Personal Data from SIP/SSIP Overview Page Export</t>
  </si>
  <si>
    <t>CT-13231</t>
  </si>
  <si>
    <t>Exclude Personal Data from SI Overview Page Export</t>
  </si>
  <si>
    <t>Ready for UAT</t>
  </si>
  <si>
    <t>Epic</t>
  </si>
  <si>
    <t>Jan 28 - Feb 10</t>
  </si>
  <si>
    <t>CT-13210</t>
  </si>
  <si>
    <t>CT-13359Keep The Lights On - FY26Q4</t>
  </si>
  <si>
    <t>Missed things that need to be done before release multi-tenancy</t>
  </si>
  <si>
    <t>CT-13071</t>
  </si>
  <si>
    <t>CT-11273Generic SIP workflow MVP Phase 1</t>
  </si>
  <si>
    <t>[BE Decision] Manage SIP in ideation</t>
  </si>
  <si>
    <t>CT-13070</t>
  </si>
  <si>
    <t>[BE Ge Update] Manage SIP IN Ideation</t>
  </si>
  <si>
    <t>GE add update not include invitation</t>
  </si>
  <si>
    <t>CT-13069</t>
  </si>
  <si>
    <t>[BE Update] Manage SIP In Ideation</t>
  </si>
  <si>
    <t>Include Special Issue Proposal details, Dates and Content Commissioning Approaches</t>
  </si>
  <si>
    <t>CT-13068</t>
  </si>
  <si>
    <t>[FE Decision Panel] Manage SIP In Ideation</t>
  </si>
  <si>
    <t>CT-13067</t>
  </si>
  <si>
    <t>[FE SIP history] Manage SIP In Ideation</t>
  </si>
  <si>
    <t>Include SIP Editing History,GE editing history and email history</t>
  </si>
  <si>
    <t>CT-13066</t>
  </si>
  <si>
    <t>[FE GE Information]Manage SIP in Ideation Stage</t>
  </si>
  <si>
    <t>CT-12695</t>
  </si>
  <si>
    <t>Config the Prod domain name</t>
  </si>
  <si>
    <t>CT-12160</t>
  </si>
  <si>
    <t>Display SIP Details Page</t>
  </si>
  <si>
    <t>CT-11600</t>
  </si>
  <si>
    <t>[FE Basic info]Manage SIP in Ideation Stage</t>
  </si>
  <si>
    <t>CT-11599</t>
  </si>
  <si>
    <t>Create SIP Overview Table and Filters</t>
  </si>
  <si>
    <t>CT-9341</t>
  </si>
  <si>
    <t>CT-9021EBM Review Suggestion Tool</t>
  </si>
  <si>
    <t>EBM Review - EBM Suggestion Tool</t>
  </si>
  <si>
    <t>34+regression</t>
  </si>
  <si>
    <t>Feb 11-Feb 24</t>
  </si>
  <si>
    <t>CT-13462</t>
  </si>
  <si>
    <t>CT-12732 Generic SIP workflow MVP Phase 1</t>
  </si>
  <si>
    <t>Screening Stage: add "Screening Checks" in decision API response</t>
  </si>
  <si>
    <t>CT-13457</t>
  </si>
  <si>
    <t>Screening Stage: Decision Panel</t>
  </si>
  <si>
    <t>CT-13454</t>
  </si>
  <si>
    <t>[BE]AI Screening in Screening Checklist Page</t>
  </si>
  <si>
    <t>CT-12161</t>
  </si>
  <si>
    <t>Manage SIP in Screening Stage</t>
  </si>
  <si>
    <t>Feb25-March 10</t>
  </si>
  <si>
    <t>Improvement</t>
  </si>
  <si>
    <t>CT-13475</t>
  </si>
  <si>
    <t>[Multi-tenancy] Add journal manager's and PM 's journal list change in system log</t>
  </si>
  <si>
    <t>CT-13458</t>
  </si>
  <si>
    <t>[Checklist Status]Screening checklist page for Generic SIP workflow</t>
  </si>
  <si>
    <t>CT-13460</t>
  </si>
  <si>
    <t>Screening Stage: New GEs reminder</t>
  </si>
  <si>
    <t>CT-13453</t>
  </si>
  <si>
    <t>[FE]AI Screening in Screening Checklist Page</t>
  </si>
  <si>
    <t>CT-13456</t>
  </si>
  <si>
    <t>[Download] Download AI Screening Report</t>
  </si>
  <si>
    <t>CT-13393</t>
  </si>
  <si>
    <t>[Checklist Detail]Screening checklist page for Generic SIP workflow</t>
  </si>
  <si>
    <t>Sprint4</t>
  </si>
  <si>
    <t>March11-March24</t>
  </si>
  <si>
    <t>CT-13486</t>
  </si>
  <si>
    <t>Guest Editor invitation response (Generic SIP2)</t>
  </si>
  <si>
    <t>CT-13304</t>
  </si>
  <si>
    <t xml:space="preserve">Review Stage: Submit Decision </t>
  </si>
  <si>
    <t>CT-13302</t>
  </si>
  <si>
    <t>Review Stage: Initiate Editorial Board Member Review via manual invitation</t>
  </si>
  <si>
    <t>CT-13301</t>
  </si>
  <si>
    <t>Review Stage: Decision Panel Visibility (Generic SIP2)</t>
  </si>
  <si>
    <t>CT-13300</t>
  </si>
  <si>
    <t>Review Stage: Edit Dates (Generic SIP2)</t>
  </si>
  <si>
    <t>CT-13299</t>
  </si>
  <si>
    <t>Review Stage: Edit Content Commissioning Approaches (Generic SIP2)</t>
  </si>
  <si>
    <t>CT-13297</t>
  </si>
  <si>
    <t>Invite Guest Editors (Generic SIP2)</t>
  </si>
  <si>
    <t>CT-13296</t>
  </si>
  <si>
    <t>Review Stage: Edit SIP Title and Details (Generic SIP2)</t>
  </si>
  <si>
    <t>CT-12166</t>
  </si>
  <si>
    <t>Allow Clearing of SCA Lead and SCA Manager Fields</t>
  </si>
  <si>
    <t>CT-12165</t>
  </si>
  <si>
    <t>Clear SCA Fields on Journal Opt-Out</t>
  </si>
  <si>
    <t>Sprint5</t>
  </si>
  <si>
    <t>March25-April7</t>
  </si>
  <si>
    <t>CT-13737</t>
  </si>
  <si>
    <t>Invite GE automation jobs + reminder</t>
  </si>
  <si>
    <t>CT-13733</t>
  </si>
  <si>
    <t>Multi-Tenancy Performance Test</t>
  </si>
  <si>
    <t>Huixin</t>
  </si>
  <si>
    <t>CT-13491</t>
  </si>
  <si>
    <t>Review Stage: Initiate Editorial Board Member Review via EBM suggestion tool invitation</t>
  </si>
  <si>
    <t>CT-13309</t>
  </si>
  <si>
    <t>Withdrawn Stage</t>
  </si>
  <si>
    <t>CT-13308</t>
  </si>
  <si>
    <t>Rejected Stage</t>
  </si>
  <si>
    <t>CT-13307</t>
  </si>
  <si>
    <t>Accepted Stage</t>
  </si>
  <si>
    <t>CT-13306</t>
  </si>
  <si>
    <t>Revision Stage: Lead GE</t>
  </si>
  <si>
    <t>CT-13305</t>
  </si>
  <si>
    <t>Revision Stage: Proposal Manager</t>
  </si>
  <si>
    <t>CT-13303</t>
  </si>
  <si>
    <t>Review Stage: Initiate Journal Editor Decision</t>
  </si>
  <si>
    <t>N/A, Yes, Under Development</t>
  </si>
  <si>
    <t>Sprint6</t>
  </si>
  <si>
    <t>April8-April21</t>
  </si>
  <si>
    <t>CT-13861</t>
  </si>
  <si>
    <t>CLONE - Username &amp; User Profile Synchronization Between Curate and CONNECT</t>
  </si>
  <si>
    <t>CT-13859</t>
  </si>
  <si>
    <t>Perf tuning - api- getSpeicalIssueBySiCode - Phase1</t>
  </si>
  <si>
    <t>CT-13858</t>
  </si>
  <si>
    <t>Perf tuning - api- specialIssueFilter - Phase1</t>
  </si>
  <si>
    <t>CT-13554</t>
  </si>
  <si>
    <t>Open for submission date should be removed from Ideation and Screening stage</t>
  </si>
  <si>
    <t>CT-13311</t>
  </si>
  <si>
    <t>Username &amp; User Profile Synchronization Between Curate and CONNECT</t>
  </si>
  <si>
    <t>CT-13236</t>
  </si>
  <si>
    <t>Incorrect wording on COI declaration-  SCA SSIP creation</t>
  </si>
  <si>
    <t>CT-13097</t>
  </si>
  <si>
    <t>Role based access to SI/Ps</t>
  </si>
  <si>
    <t>CT-13064</t>
  </si>
  <si>
    <t>Optimize of Dates of Generic SI detail page</t>
  </si>
  <si>
    <t>Winky will help Sameera execute it while he is on vacation.</t>
  </si>
  <si>
    <t>CT-13062</t>
  </si>
  <si>
    <t>Optimize of Dates when acquired SI</t>
  </si>
  <si>
    <t>CT-13061</t>
  </si>
  <si>
    <t>Optimize of Dates of SIP detail page</t>
  </si>
  <si>
    <t>CT-11886</t>
  </si>
  <si>
    <t>Optimize of Dates of SI detail page</t>
  </si>
  <si>
    <t>CT-10352</t>
  </si>
  <si>
    <t>(Generic) GE Details Page - Add Associated Special Issue Proposals table</t>
  </si>
  <si>
    <t>CT-10351</t>
  </si>
  <si>
    <t>Create GE Profiles starting in the Generic SIP workflow</t>
  </si>
  <si>
    <t>CT-8909</t>
  </si>
  <si>
    <t>Collect COI per GE in USIP form</t>
  </si>
  <si>
    <t>IP Week</t>
  </si>
  <si>
    <t>April22-April28</t>
  </si>
  <si>
    <t>CT-13540</t>
  </si>
  <si>
    <t>Email templates for Generic SIP workflow</t>
  </si>
  <si>
    <t>CT-13822</t>
  </si>
  <si>
    <t>Add Email templates for Generic SIP workflow to tenant admin admin page</t>
  </si>
  <si>
    <t>CT-13704</t>
  </si>
  <si>
    <t>Screening Stage: Auto‑cancel open GE invites when moving submission to Review at Screening stage</t>
  </si>
  <si>
    <t>CT-14014</t>
  </si>
  <si>
    <t>Optimize of Dates - periodical-task trigger moment update</t>
  </si>
  <si>
    <t>29-Oct-2025	12-Nov-2025</t>
  </si>
  <si>
    <t>CT-12739</t>
  </si>
  <si>
    <t>Closed</t>
  </si>
  <si>
    <t>[Multi-Tenancy] Tenant ID resolving &amp; processing</t>
  </si>
  <si>
    <t>Discovery - Rex Review And Submission Integrate Testing.</t>
  </si>
  <si>
    <t>No need to test</t>
  </si>
  <si>
    <t>CT-12738</t>
  </si>
  <si>
    <t>[Multi-Tenancy] Platform Admin Portal</t>
  </si>
  <si>
    <t>[Research] Save the Connect Secret into AWS Secret Manager by APP</t>
  </si>
  <si>
    <t>CT-12681</t>
  </si>
  <si>
    <t>[Multi-Tenancy] Tenant Admin Portal</t>
  </si>
  <si>
    <t>[S3][download]Streamlined Download of Generated Files via S3 and SSE with Request Deduplication</t>
  </si>
  <si>
    <t>No need to test in Sprint1, will test it in Sprint2</t>
  </si>
  <si>
    <t>CT-12680</t>
  </si>
  <si>
    <t>[S3][download] Enable Direct File Downloads via S3 Pre-Signed URLs</t>
  </si>
  <si>
    <t>CT-12664</t>
  </si>
  <si>
    <t>Tech Debt - Performance tuning FY26Q3</t>
  </si>
  <si>
    <t>Merge duplicated class - part 1</t>
  </si>
  <si>
    <t>No need to test, Elwin will test it by himself</t>
  </si>
  <si>
    <t>CT-12575</t>
  </si>
  <si>
    <t>Yes</t>
  </si>
  <si>
    <t>Assess impact of tenantId injection on non-generic events and schedulers - [Phase 2]</t>
  </si>
  <si>
    <t>Lily/Winky/Sameera</t>
  </si>
  <si>
    <t>CT-11995</t>
  </si>
  <si>
    <t>email template page</t>
  </si>
  <si>
    <t>CT-11993</t>
  </si>
  <si>
    <t>user management page</t>
  </si>
  <si>
    <t>CT-11992</t>
  </si>
  <si>
    <t>Role displaying page</t>
  </si>
  <si>
    <t>11-Nov-2025	25-Nov-2026</t>
  </si>
  <si>
    <t>CT-12736</t>
  </si>
  <si>
    <t>[API] Get Tenants API</t>
  </si>
  <si>
    <t>Can be tested in Sprint3 with platform admin</t>
  </si>
  <si>
    <t>CT-12733</t>
  </si>
  <si>
    <t>[API] Get tenant admin API</t>
  </si>
  <si>
    <t>CT-12722</t>
  </si>
  <si>
    <t xml:space="preserve">[S3][download]  Replace the old download method to the New File Download Method </t>
  </si>
  <si>
    <t>Regression testing need to cover 53 cases https://wiley-global.atlassian.net/wiki/spaces/CTC/pages/77980690/S3+File+Generation+and+Pre-signed+Link+Download+Workflow+Design</t>
  </si>
  <si>
    <t>CT-9370</t>
  </si>
  <si>
    <t>[S3][Upload] Integrate all file upload functions into one set of logic.</t>
  </si>
  <si>
    <t>CT-12047</t>
  </si>
  <si>
    <t>[FrontEnd] Platform Admin Menu</t>
  </si>
  <si>
    <t>We can only see Platform Admin menu, page is empty in Sprint2</t>
  </si>
  <si>
    <t>CT-12042</t>
  </si>
  <si>
    <t>data export</t>
  </si>
  <si>
    <t>CT-11994</t>
  </si>
  <si>
    <t>System Log page</t>
  </si>
  <si>
    <t>CT-11987</t>
  </si>
  <si>
    <t>Rex Review And Submission Integrate Testing.</t>
  </si>
  <si>
    <t>Need to confirm with Kexin</t>
  </si>
  <si>
    <t>CT-11736</t>
  </si>
  <si>
    <t>Address sensitive information vulnerabilities identified by CheckmarX. [Phase 1 - API-Keys and Passwords]</t>
  </si>
  <si>
    <t>26-Nov-2025	09-Dec-2026</t>
  </si>
  <si>
    <t>CT-12737</t>
  </si>
  <si>
    <t>[API] Create and Update tenant APIs</t>
  </si>
  <si>
    <t>CT-12735</t>
  </si>
  <si>
    <t>[Research] Reload secret items from AWS secret manager without pod restart</t>
  </si>
  <si>
    <t>CT-12734</t>
  </si>
  <si>
    <t>[API] Tenant admin create and update APIs</t>
  </si>
  <si>
    <t>CT-12732</t>
  </si>
  <si>
    <t>[FrontEnd] Update Tenant Admin</t>
  </si>
  <si>
    <t>CT-12731</t>
  </si>
  <si>
    <t>[FrontEnd] Create Tenant Admin</t>
  </si>
  <si>
    <t>CT-12730</t>
  </si>
  <si>
    <t>[FrontEnd] Tenant admin page Search and Filters</t>
  </si>
  <si>
    <t>CT-12729</t>
  </si>
  <si>
    <t>[FrontEnd] View Tenant Admins</t>
  </si>
  <si>
    <t>CT-12708</t>
  </si>
  <si>
    <t>Merge duplicated class - part 2</t>
  </si>
  <si>
    <t>Elwin confirmed no need to test, he will test it by himself</t>
  </si>
  <si>
    <t>CT-12568</t>
  </si>
  <si>
    <t>View Tenant Details</t>
  </si>
  <si>
    <t>CT-12567</t>
  </si>
  <si>
    <t>Edit Tenant Information</t>
  </si>
  <si>
    <t>CT-12566</t>
  </si>
  <si>
    <t>Add new Tenant Page Popup</t>
  </si>
  <si>
    <t>CT-12269</t>
  </si>
  <si>
    <t>Rebrand SIMT to Research Exchange Curate</t>
  </si>
  <si>
    <t>UI Updates: Completing Rebranding of SIMT to Curate</t>
  </si>
  <si>
    <t>CT-12261</t>
  </si>
  <si>
    <t>Get and fill specific content of tenant in FE page based on tenant ID</t>
  </si>
  <si>
    <t>10-Dec-2025 23-Dec-2025</t>
  </si>
  <si>
    <t>CT-13063</t>
  </si>
  <si>
    <t>Tech Debt - Performance tuning FY26Q4</t>
  </si>
  <si>
    <t>[Design] List all the realted date realted to the time zone</t>
  </si>
  <si>
    <t>CT-13034</t>
  </si>
  <si>
    <t>Encrypt connect secret before saving to database</t>
  </si>
  <si>
    <t>CT-12896</t>
  </si>
  <si>
    <t>Email Updates: Completing Rebranding of SIMT to Curate</t>
  </si>
  <si>
    <t>CT-12726</t>
  </si>
  <si>
    <t>GE Overview Dashboard for Generic workflow</t>
  </si>
  <si>
    <t>Consolidate Guest Editor Data Across Workflows</t>
  </si>
  <si>
    <t>CT-12725</t>
  </si>
  <si>
    <t>Enforce Permission-Based Access</t>
  </si>
  <si>
    <t>CT-12709</t>
  </si>
  <si>
    <t>Merge duplicated class - part 3</t>
  </si>
  <si>
    <t>In Development</t>
  </si>
  <si>
    <t>[Multi-Tenancy] prod domain name configuration</t>
  </si>
  <si>
    <t>CT-12693</t>
  </si>
  <si>
    <t>Address sensitive information vulnerabilities identified by CheckmarX. [Phase 2 - JWT and Private-keys]</t>
  </si>
  <si>
    <t>CT-12381</t>
  </si>
  <si>
    <t>Display Guest Editor Overview Dashboard for Generic Workflow</t>
  </si>
  <si>
    <t>Jan 6- Jan 20</t>
  </si>
  <si>
    <t>Generic SIP workflow MVP Phase 1</t>
  </si>
  <si>
    <t>CT-13033</t>
  </si>
  <si>
    <t>STEP is removing production details, allow blank fields in Curate</t>
  </si>
  <si>
    <t>Allow blank PE/PM details in exported data from Curate</t>
  </si>
  <si>
    <t>CT-13032</t>
  </si>
  <si>
    <t>Allow blank PE/PM details in SI/P details page</t>
  </si>
  <si>
    <t>CT-13007</t>
  </si>
  <si>
    <t>Released at Jan. 15</t>
  </si>
  <si>
    <t>Improvements - SIMT Consumes ReX Submission/Review Events</t>
  </si>
  <si>
    <t>Update Rescind event consumed from Review</t>
  </si>
  <si>
    <t>CT-12710</t>
  </si>
  <si>
    <t>Merge duplicated class - part 4</t>
  </si>
  <si>
    <t>CT-12159</t>
  </si>
  <si>
    <t>Create Special Issue Proposal Form</t>
  </si>
  <si>
    <t>CT-12157</t>
  </si>
  <si>
    <t>Support for Combined and Separate Role Assignments</t>
  </si>
  <si>
    <t>CT-12156</t>
  </si>
  <si>
    <t>Assign Journals to Proposal Manager</t>
  </si>
  <si>
    <t>CT-11598</t>
  </si>
  <si>
    <t>Create and manage SIP Overview and Dashboard </t>
  </si>
  <si>
    <t>CT-11577</t>
  </si>
  <si>
    <t>Create Proposal Manager Role and Group</t>
  </si>
  <si>
    <t>DEV story point</t>
  </si>
  <si>
    <t>Sprint 1</t>
  </si>
  <si>
    <t>7.30-8.13</t>
  </si>
  <si>
    <t>CT-12167</t>
  </si>
  <si>
    <t>Improvement on SI Overview data export</t>
  </si>
  <si>
    <t>SIMT FY26 Q2 Improvements</t>
  </si>
  <si>
    <t>CT-12163</t>
  </si>
  <si>
    <t>Update SI Overview to Include Operations Lead when filter SIs based on Operations Lead</t>
  </si>
  <si>
    <t>SIMT is being rebranded to Curate</t>
  </si>
  <si>
    <t>CT-12023</t>
  </si>
  <si>
    <t>Apply Curate branding to login page</t>
  </si>
  <si>
    <t>Connect Login Page and one configuration page/ confirm what dev will do</t>
  </si>
  <si>
    <t>CT-12022</t>
  </si>
  <si>
    <t>Update app catalog entries and metadata</t>
  </si>
  <si>
    <t>confirm with dev if need testing</t>
  </si>
  <si>
    <t>CT-12021</t>
  </si>
  <si>
    <t>Update URLs and configure redirects for Curate</t>
  </si>
  <si>
    <t>Automation could cover it (Update domain url)
Automation could cover it (Open SI /SIP detail page)
Legacy URL redirect to new URL</t>
  </si>
  <si>
    <t xml:space="preserve">section -&gt; verify </t>
  </si>
  <si>
    <t>CT-12020</t>
  </si>
  <si>
    <t>Update system-generated email addresses</t>
  </si>
  <si>
    <t>Reference CT-12019/check template in database/send from curate@researchexchange.com</t>
  </si>
  <si>
    <t>CT-12019</t>
  </si>
  <si>
    <t>Update email templates to reflect Curate branding</t>
  </si>
  <si>
    <t>https://confluence.wiley.com/display/CTC/SIMT+Alert+Task+Trigger+Timeline
SIP Workflow
Single reassign ops/ce (SCA SI)
Bulk transfer ops/ce (SCA SI)
Single reassign ops/ce/screener (SIP)
Bulk transfer ops/ce/screener (SIP)</t>
  </si>
  <si>
    <t>CT-12018</t>
  </si>
  <si>
    <t>Replace all UI references from SIMT to Curate</t>
  </si>
  <si>
    <r>
      <t xml:space="preserve">SIP Web Form Page
SIMT Header 
SIMT- Internal Page
SIP Workflow related regression
Oepn Generic SI Detail Page
Open SCA SI Detail Page
Open SIP Detail Page
Open GE Detail Page
</t>
    </r>
    <r>
      <rPr>
        <b/>
        <sz val="14"/>
        <color rgb="FF000000"/>
        <rFont val="等线"/>
        <charset val="134"/>
        <scheme val="minor"/>
      </rPr>
      <t>Check design/PR</t>
    </r>
  </si>
  <si>
    <t>Sprint 2</t>
  </si>
  <si>
    <t>[Multi Tenancy] - Service separation</t>
  </si>
  <si>
    <t>CT-12172</t>
  </si>
  <si>
    <t>Generic SI service seperated from SI Service [Periodical Task]</t>
  </si>
  <si>
    <t>CT-12171</t>
  </si>
  <si>
    <t>Generic SI service seperated from SI Service [Database Layer]</t>
  </si>
  <si>
    <t>CT-12170</t>
  </si>
  <si>
    <t>Generic SI service seperated from SI Service [Controller Layer]</t>
  </si>
  <si>
    <t>[Multi-Tenancy] Data Segregation</t>
  </si>
  <si>
    <t>CT-12158</t>
  </si>
  <si>
    <t>Table of t_tenant creation</t>
  </si>
  <si>
    <t>Regression testing is not needed</t>
  </si>
  <si>
    <t>CT-12153</t>
  </si>
  <si>
    <t>Modify pipeline for service segreation</t>
  </si>
  <si>
    <t>CT-12149</t>
  </si>
  <si>
    <t>Generic SI service seperated from SI Service [Service Layer]</t>
  </si>
  <si>
    <t>CT-12048</t>
  </si>
  <si>
    <t>[Design] Identify tables that need append tenent id &amp; implementation</t>
  </si>
  <si>
    <t>[Multi-Tenancy] CONNECT Integration</t>
  </si>
  <si>
    <t>CT-12037</t>
  </si>
  <si>
    <t>Multi-Tenant Request Routing with Host Preservation in Nginx</t>
  </si>
  <si>
    <t>CT-11962</t>
  </si>
  <si>
    <t>Frontend Generic SI split</t>
  </si>
  <si>
    <t>CT-12340</t>
  </si>
  <si>
    <t>Generic SI - Frontend related change(only change the url)</t>
  </si>
  <si>
    <t>Regression testing for Generic SI</t>
  </si>
  <si>
    <t>CT-12339</t>
  </si>
  <si>
    <t>Generic SI - Review current impl and design on Generic SI service controller layer</t>
  </si>
  <si>
    <t>CT-12338</t>
  </si>
  <si>
    <t>Generic SI - Swagger update for API gateway</t>
  </si>
  <si>
    <t>CT-12334</t>
  </si>
  <si>
    <t>[QA] Kafa event testing tasks from Sprint 2</t>
  </si>
  <si>
    <t>CT-12323</t>
  </si>
  <si>
    <t>Create new tables to store and send emails for generic workflow</t>
  </si>
  <si>
    <t>Regression testing</t>
  </si>
  <si>
    <t>CT-12322</t>
  </si>
  <si>
    <t>Rename log service to database-automation service</t>
  </si>
  <si>
    <t>CT-12321</t>
  </si>
  <si>
    <t>Rename email service to integration service</t>
  </si>
  <si>
    <t>Regression testing -check email sending</t>
  </si>
  <si>
    <t>CT-12320</t>
  </si>
  <si>
    <t>Migrate Rex message consume logic from SI service and generic SI service to integration service</t>
  </si>
  <si>
    <t>Winky/Huixin</t>
  </si>
  <si>
    <t>CT-12319</t>
  </si>
  <si>
    <t>Decoupling Article Submission Functionality for Generic SI</t>
  </si>
  <si>
    <t>Covered by CT-12320</t>
  </si>
  <si>
    <t>CT-12318</t>
  </si>
  <si>
    <t>Generic SI - API design and impl in API gateway</t>
  </si>
  <si>
    <t>CT-12316</t>
  </si>
  <si>
    <t>Add a demo tenant into t_tenant table</t>
  </si>
  <si>
    <t>Not able to test</t>
  </si>
  <si>
    <t>CT-12304</t>
  </si>
  <si>
    <t>Create a new table of t_tenant_sys_config</t>
  </si>
  <si>
    <t>CT-12152</t>
  </si>
  <si>
    <t>Summary the config table which need an initial step when creating new tanant</t>
  </si>
  <si>
    <t>CT-11985</t>
  </si>
  <si>
    <t>[Impl][Generic SI]Identify tables that need append tenent id &amp; implementation</t>
  </si>
  <si>
    <t>CT-12300</t>
  </si>
  <si>
    <t>Clear up the temp tables and backup tables in the prod env database</t>
  </si>
  <si>
    <t>Need to fix bug</t>
  </si>
  <si>
    <t>Closed (Task)</t>
  </si>
  <si>
    <t>CT-12417</t>
  </si>
  <si>
    <t>[QA] Testing work on multi tenancy - generic SI functionality</t>
  </si>
  <si>
    <t>Winky Lily and Sameera</t>
  </si>
  <si>
    <t>Regression test for all requests related with Generic SI for Wiley and PBJ</t>
  </si>
  <si>
    <t>CT-12362</t>
  </si>
  <si>
    <t>Batch update for bad data</t>
  </si>
  <si>
    <t>Released</t>
  </si>
  <si>
    <t>CT-12285</t>
  </si>
  <si>
    <t>Decommission Subject Group</t>
  </si>
  <si>
    <t>Hint message under Report</t>
  </si>
  <si>
    <t>CT-12039</t>
  </si>
  <si>
    <t>Refactoring Gateway Authentication and Move the JWT Generation Logic to User Service</t>
  </si>
  <si>
    <t>API testing -&gt; login successfully is enough.(Check Automation results for user login functionality)</t>
  </si>
  <si>
    <t>CT-12038</t>
  </si>
  <si>
    <t>Integrate tenant_id into logining token</t>
  </si>
  <si>
    <t>QA team need do the API testing of request header</t>
  </si>
  <si>
    <t>CT-11991</t>
  </si>
  <si>
    <t>Step 5: Handing tenent_id in DB mapper layer</t>
  </si>
  <si>
    <t>Confirmed with Elwin, need to ensure JM of PBJ can not see Generic SI created for Wiley</t>
  </si>
  <si>
    <t>CT-11990</t>
  </si>
  <si>
    <t>Step 1: Resolve requests and get the tenent_id in gateway</t>
  </si>
  <si>
    <t>CT-11989</t>
  </si>
  <si>
    <t>Register new auth domain on CONNECT to support multi tenacy</t>
  </si>
  <si>
    <t>CT-11966</t>
  </si>
  <si>
    <t>Step 4: SIMT Tenant ID - http request and openFeign config</t>
  </si>
  <si>
    <t>CT-11961</t>
  </si>
  <si>
    <t>Step 3.2: SIMT Tenant ID - sub threads propagation</t>
  </si>
  <si>
    <t>Sameera and Huixin</t>
  </si>
  <si>
    <t>Confirmed with Kexin, need to check emai send and event related with GenericSI for Wiley and PBJ</t>
  </si>
  <si>
    <t>CT-11960</t>
  </si>
  <si>
    <t>Step 3.1: SIMT Tenant ID - scheduled tasks processing</t>
  </si>
  <si>
    <t>Confirmed with Kexin, we need to test event and email send related with Generic SI for Wiley and PBJ</t>
  </si>
  <si>
    <t>CT-12501</t>
  </si>
  <si>
    <t>Implement tenant-specific SI code generation for proper incremental numbering per tenant.</t>
  </si>
  <si>
    <t>New case</t>
  </si>
  <si>
    <t>CT-12500</t>
  </si>
  <si>
    <t>Add tenant_id column to missing tables</t>
  </si>
  <si>
    <t>CT-12499</t>
  </si>
  <si>
    <t>Scheduled Task improvement</t>
  </si>
  <si>
    <t>Keep the Lights On - FY26Q3 - 2</t>
  </si>
  <si>
    <t>CT-12478</t>
  </si>
  <si>
    <t>Change Async API source from simt to curate</t>
  </si>
  <si>
    <t>CT-12384</t>
  </si>
  <si>
    <t>[Sprint4] User service Jenkins pipeline and infrastructure change</t>
  </si>
  <si>
    <t>CT-12373</t>
  </si>
  <si>
    <t>CT-12045</t>
  </si>
  <si>
    <t>Jenkins Pipeline Improvement for Dependency Management and Build Efficiency</t>
  </si>
  <si>
    <t>[Multi-Tenancy] non-prod Domain name configuration</t>
  </si>
  <si>
    <t>CT-12043</t>
  </si>
  <si>
    <t>Migration of PBJ Tenant to a Dedicated Connect Domain</t>
  </si>
  <si>
    <t>[Multi-Tenancy] User Role &amp; Permission</t>
  </si>
  <si>
    <t>CT-12040</t>
  </si>
  <si>
    <t>DB Table change and preparation</t>
  </si>
  <si>
    <t>CT-12565</t>
  </si>
  <si>
    <t>Assess impact of tenantId injection on non-generic events and schedulers - [Phase 1]</t>
  </si>
  <si>
    <t>Sameera/Winky/Lily</t>
  </si>
  <si>
    <t>Regression mentioned job</t>
  </si>
  <si>
    <t>Closed(Task)</t>
  </si>
  <si>
    <t>CT-12559</t>
  </si>
  <si>
    <t>SIMT API to include Submission Proposal Instructions and Submission Instructions</t>
  </si>
  <si>
    <t>Design new case</t>
  </si>
  <si>
    <t>CT-12531</t>
  </si>
  <si>
    <t>redirect no-permission uses to dedicated alert page instead of sip-web-form</t>
  </si>
  <si>
    <t>CT-12529</t>
  </si>
  <si>
    <t>[Research] Rename package prefix name</t>
  </si>
  <si>
    <t>CT-12518</t>
  </si>
  <si>
    <t>[Impl] Curate Kafka event archive solution</t>
  </si>
  <si>
    <t>CT-12364</t>
  </si>
  <si>
    <t xml:space="preserve">Add tenant into logger </t>
  </si>
  <si>
    <t>CT-12053</t>
  </si>
  <si>
    <t>New Menu - Tenant Admin</t>
  </si>
  <si>
    <t>Is able to see the menu, and there is no content</t>
  </si>
  <si>
    <t>[Multi-Tenancy] Journal meta data processing</t>
  </si>
  <si>
    <t>CT-12046</t>
  </si>
  <si>
    <t>Extend Journal Sync Logic to Support Multi-Tenant Data</t>
  </si>
  <si>
    <t>Associate JM then user can see new journals, not moc journal</t>
  </si>
  <si>
    <t>CT-12041</t>
  </si>
  <si>
    <t>Service code change</t>
  </si>
  <si>
    <t>Ready for release</t>
  </si>
  <si>
    <t>CT-11986</t>
  </si>
  <si>
    <t>Tenant-specific SI Code generation auto increase per year</t>
  </si>
  <si>
    <t>CT-11337</t>
  </si>
  <si>
    <t>QA automation development</t>
  </si>
  <si>
    <t> </t>
  </si>
  <si>
    <t>CT-11332</t>
  </si>
  <si>
    <t>[Design]Event change for new attributes of CFA workflow</t>
  </si>
  <si>
    <t>CT-11311</t>
  </si>
  <si>
    <t>FY25Q1 PROD Release Support</t>
  </si>
  <si>
    <t>CT-11305</t>
  </si>
  <si>
    <t>FY26Q1 - Sprint 1 PROD Support</t>
  </si>
  <si>
    <t>CT-11287</t>
  </si>
  <si>
    <t>PKG/NLP APIs Endpoint authentication method and credentials update</t>
  </si>
  <si>
    <t>CT-11286</t>
  </si>
  <si>
    <t>PKG/NLP APIs Endpoint update</t>
  </si>
  <si>
    <t>CT-11271</t>
  </si>
  <si>
    <t>Include SI Aims &amp; Scope and SI Topics in SI Update Events</t>
  </si>
  <si>
    <t>CT-11270</t>
  </si>
  <si>
    <t>Surface SI Topics in SI Details Section</t>
  </si>
  <si>
    <t>CT-11269</t>
  </si>
  <si>
    <t>Surface SI Aims &amp; Scope in SI Details Section</t>
  </si>
  <si>
    <t>CT-11190</t>
  </si>
  <si>
    <t>[RBAC And Resource] Implementation of Generic Row-Level Permission Logic for Resources</t>
  </si>
  <si>
    <t>No need verify</t>
  </si>
  <si>
    <t>CT-11189</t>
  </si>
  <si>
    <t>[RBAC And Resource] Resource Data Structure Definition.</t>
  </si>
  <si>
    <t>CT-10999</t>
  </si>
  <si>
    <t>Filter STEP Product API on Tenant ID</t>
  </si>
  <si>
    <t>CT-11338</t>
  </si>
  <si>
    <t>CT-11334</t>
  </si>
  <si>
    <t>Revise Pages: SSIP/USIP Workflows - Replace "Open Call for Papers" with "Content Commissioning Approach"</t>
  </si>
  <si>
    <t>CT-11333</t>
  </si>
  <si>
    <t>Revise pages: "Content Commissioning Approach" Attribute in SSIP and USIP Records</t>
  </si>
  <si>
    <t>CT-11321</t>
  </si>
  <si>
    <t>"Content Commissioning Approach" for In Progress SIPs</t>
  </si>
  <si>
    <t>CT-11320</t>
  </si>
  <si>
    <t>USIP Workflow - Stage by Stage Behavior for "Potential Authors" Attribute</t>
  </si>
  <si>
    <t>CT-11319</t>
  </si>
  <si>
    <t>SSIP Workflow - Stage by Stage Behavior for "Potential Authors" Attribute</t>
  </si>
  <si>
    <t>CT-11317</t>
  </si>
  <si>
    <t>Exporting Potential Authors List</t>
  </si>
  <si>
    <t>CT-11316</t>
  </si>
  <si>
    <t>Content Commissioning Approach - "Potential Authors" Attribute</t>
  </si>
  <si>
    <t>CT-11312</t>
  </si>
  <si>
    <t>Content Commissioning Approach - "Type of Call" Attribute</t>
  </si>
  <si>
    <t>CT-11306</t>
  </si>
  <si>
    <t>FY26Q1 - Sprint 2 PROD Support</t>
  </si>
  <si>
    <t>CT-11302</t>
  </si>
  <si>
    <t>"Content Commissioning Approach" Functionality for SSIP and USIP Records</t>
  </si>
  <si>
    <t>CT-11301</t>
  </si>
  <si>
    <t>USIP Workflow - Replace "Open Call for Papers" with "Content Commissioning Approach"</t>
  </si>
  <si>
    <t>CT-11300</t>
  </si>
  <si>
    <t>SSIP/USIP Workflows - Replace "Open Call for Papers" with "Content Commissioning Approach"</t>
  </si>
  <si>
    <t>1+4/1 read + 1 design +3 (120)</t>
  </si>
  <si>
    <t>CT-11107</t>
  </si>
  <si>
    <t>[Design] Refuse to Consider decision from ReX Screening recorded in Submission Overview</t>
  </si>
  <si>
    <t>CT-11106</t>
  </si>
  <si>
    <t>[Design] Return to Draft decision from ReX Screening recorded in Submission Overview</t>
  </si>
  <si>
    <t>CT-11105</t>
  </si>
  <si>
    <t>[Implement] Rescind Withdraw, Return to Draft and Refuse to Consider decisions from ReX Review/Screening recorded in Submission Overview</t>
  </si>
  <si>
    <t>Winky&amp;Huixin</t>
  </si>
  <si>
    <t>1+1</t>
  </si>
  <si>
    <t>UI Check and Data check need 1m/d -- Winky
Message Consume Check 1m/d -- Huixin</t>
  </si>
  <si>
    <t>CT-11104</t>
  </si>
  <si>
    <t>[Design] Withdraw decision from ReX Review recorded in Submission Overview</t>
  </si>
  <si>
    <t>CT-11103</t>
  </si>
  <si>
    <t>[Design] Withdraw decision from ReX Screening recorded in Submission Overview</t>
  </si>
  <si>
    <t>CT-11102</t>
  </si>
  <si>
    <t>[Design] Rescind Withdraw, Return to Draft and Refuse to Consider decisions from ReX Review/Screening recorded in Submission Overview</t>
  </si>
  <si>
    <t>This user story is the design tasks for  CT-11105</t>
  </si>
  <si>
    <t>CT-11339</t>
  </si>
  <si>
    <t>CT-11335</t>
  </si>
  <si>
    <t>Edit: "Content Commissioning Approach" in SI Details Page</t>
  </si>
  <si>
    <t>CT-11331</t>
  </si>
  <si>
    <t>Event change for new attributes of CFA workflow</t>
  </si>
  <si>
    <t>CT-11324</t>
  </si>
  <si>
    <t>"Content Commissioning Approach" for In Progress SIs</t>
  </si>
  <si>
    <t>CT-11323</t>
  </si>
  <si>
    <t>Display: "Content Commissioning Approach" in SI Details Page</t>
  </si>
  <si>
    <t>CT-11322</t>
  </si>
  <si>
    <t>Content Commissioning Approaches Section During SI Aquisition Process</t>
  </si>
  <si>
    <t>CT-11597</t>
  </si>
  <si>
    <t>Update SIP Overview and Maintain SIP History for New Commissioning Attributes</t>
  </si>
  <si>
    <t>CT-11617</t>
  </si>
  <si>
    <t>Potential Author improvement</t>
  </si>
  <si>
    <t>CT-11307</t>
  </si>
  <si>
    <t>FY26Q1 - Sprint 3 PROD Support</t>
  </si>
  <si>
    <t>CT-11278</t>
  </si>
  <si>
    <t>[Design]Separate Generic SI data with SCA SI data in database and API</t>
  </si>
  <si>
    <t>CT-11221</t>
  </si>
  <si>
    <t>SI Details Page - Acquired Date must be read-only</t>
  </si>
  <si>
    <t>Add sensitive information detection in the SIMT Repo</t>
  </si>
  <si>
    <t>Confirmed with Ming, require tested by the company's security department</t>
  </si>
  <si>
    <t>CT-11672</t>
  </si>
  <si>
    <t>Update SI Overview for New Commissioning Attributes</t>
  </si>
  <si>
    <t>CT-11438</t>
  </si>
  <si>
    <t>GE Invitation Flow</t>
  </si>
  <si>
    <t>CT-11437</t>
  </si>
  <si>
    <t>GE Information Section</t>
  </si>
  <si>
    <t>CT-11220</t>
  </si>
  <si>
    <t>USIP Process Log - Display email of user who submits SIP Form</t>
  </si>
  <si>
    <t>CT-11078</t>
  </si>
  <si>
    <t>Change PostConstruct to ApplicationRunner</t>
  </si>
  <si>
    <t>Regression</t>
  </si>
  <si>
    <t>CT-11038</t>
  </si>
  <si>
    <t>Batch Update for Operations Lead/Commissioning Editor/Screener in SIP Workflow</t>
  </si>
  <si>
    <t>CT-11037</t>
  </si>
  <si>
    <t>Batch Update for Operations Lead in SI Workflow</t>
  </si>
  <si>
    <t>CT-11036</t>
  </si>
  <si>
    <t>Ops Lead Reassignment in SI Workflow</t>
  </si>
  <si>
    <t>CT-11707</t>
  </si>
  <si>
    <t>Generic SI Workflow - SI Aims &amp; Scope and Topics Display Improvement</t>
  </si>
  <si>
    <t>CT-10474</t>
  </si>
  <si>
    <t>[CW] Configurable for some fields</t>
  </si>
  <si>
    <t>CT-11442</t>
  </si>
  <si>
    <t>GE Invitation Page</t>
  </si>
  <si>
    <t>CT-11441</t>
  </si>
  <si>
    <t>GE Invitation Response</t>
  </si>
  <si>
    <t>CT-11440</t>
  </si>
  <si>
    <t>GE Invitation Email</t>
  </si>
  <si>
    <t>CT-11439</t>
  </si>
  <si>
    <t>Automated Invitation Reminders</t>
  </si>
  <si>
    <t>CT-11342</t>
  </si>
  <si>
    <t>CT-11309</t>
  </si>
  <si>
    <t>FY26Q1 - Sprint 5 PROD Support</t>
  </si>
  <si>
    <t>CT-8582</t>
  </si>
  <si>
    <t>EBM Review - Individual EBM Page Improvements</t>
  </si>
  <si>
    <t>CT-11714</t>
  </si>
  <si>
    <t>Restrict email sending at non-prod env</t>
  </si>
  <si>
    <t>CT-11775</t>
  </si>
  <si>
    <t>Make Idea Date a Read-Only Field in SI Workflow</t>
  </si>
  <si>
    <t>CT-11064</t>
  </si>
  <si>
    <t>Solution to stop users from creating duplicate SIs during SI Acquisition</t>
  </si>
  <si>
    <t>Sprint 6</t>
  </si>
  <si>
    <t>CT-11584</t>
  </si>
  <si>
    <t>SCA SI Workflow - Users able to filter SIs based on Operations Lead</t>
  </si>
  <si>
    <t>CT-11223</t>
  </si>
  <si>
    <t>Enable filtering in TAT Reporting</t>
  </si>
  <si>
    <t>CT-11222</t>
  </si>
  <si>
    <t>SI can be Shelved from Acquired Stage</t>
  </si>
  <si>
    <t>CT-10270</t>
  </si>
  <si>
    <t>Journal Accept Stage Reminders</t>
  </si>
  <si>
    <t>CT-10269</t>
  </si>
  <si>
    <t>Journal Editor Review Stage Reminders</t>
  </si>
  <si>
    <t>CT-10268</t>
  </si>
  <si>
    <t>EBM Review Invitations Reminders</t>
  </si>
  <si>
    <t>CT-10267</t>
  </si>
  <si>
    <t>Post EBM Review Revisions Reminders</t>
  </si>
  <si>
    <t>CT-10266</t>
  </si>
  <si>
    <t>Post Screening Revisions Reminders</t>
  </si>
  <si>
    <t>CT-10265</t>
  </si>
  <si>
    <t>Ideation Revisions Reminders</t>
  </si>
  <si>
    <t>CT-10264</t>
  </si>
  <si>
    <t>Automatic Revision Deadline Extension</t>
  </si>
  <si>
    <t>Need QA Verify</t>
  </si>
  <si>
    <t>Case Count</t>
  </si>
  <si>
    <t>Jan 23-Feb 12</t>
  </si>
  <si>
    <t>CT-9415</t>
  </si>
  <si>
    <t>[Backend] Merge kafak producer and consumer Properties in a same file</t>
  </si>
  <si>
    <t>CT-10385</t>
  </si>
  <si>
    <t>[Design] - Rex Review- Analysis Rex Review Message</t>
  </si>
  <si>
    <t>CT-10388</t>
  </si>
  <si>
    <t>[Design] - Rex Review - DB Design to store the raw message and processed value</t>
  </si>
  <si>
    <t>CT-10222</t>
  </si>
  <si>
    <t>[Design] SI Report Analysis for Rex Review Message</t>
  </si>
  <si>
    <t>CT-10209</t>
  </si>
  <si>
    <t>Format Whole SIMT Code and Delete unused code</t>
  </si>
  <si>
    <t>CT-10381</t>
  </si>
  <si>
    <t>[Design] - Rex Submission - Analysis Rex Submission Message</t>
  </si>
  <si>
    <t>CT-10382</t>
  </si>
  <si>
    <t>[Design] - Rex Submission - DB Design to store the raw message and processed value</t>
  </si>
  <si>
    <t>CT-10220</t>
  </si>
  <si>
    <t>[Design] SI Report Analysis for Rex Submission Message</t>
  </si>
  <si>
    <t>CT-8932</t>
  </si>
  <si>
    <t>[E2E Research] SIMT Technical Roadmap for E2E technical standard compliance</t>
  </si>
  <si>
    <t>CT-9379</t>
  </si>
  <si>
    <t>SIP Kafka Topic creation and connectivity testing for all envs</t>
  </si>
  <si>
    <t>CT-10405</t>
  </si>
  <si>
    <t>[Design] New Si Overview Page</t>
  </si>
  <si>
    <t>CT-10403</t>
  </si>
  <si>
    <t>[Design] New Si Detail Display</t>
  </si>
  <si>
    <t>CT-10376</t>
  </si>
  <si>
    <t>[Design] New SI Trigger By Dead Line</t>
  </si>
  <si>
    <t>CT-10375</t>
  </si>
  <si>
    <t>[Design] New Si WorkFlow Define</t>
  </si>
  <si>
    <t>CT-10398</t>
  </si>
  <si>
    <t>[Design] New Si WorkFlow Executor</t>
  </si>
  <si>
    <t>CT-10372</t>
  </si>
  <si>
    <t>[Design]SIMT TraceId - prototype demo for request and log</t>
  </si>
  <si>
    <t>CT-10377</t>
  </si>
  <si>
    <t>[Design]SIMT TraceId - prototype demo for feign client and kafka</t>
  </si>
  <si>
    <t>CT-10436</t>
  </si>
  <si>
    <t>Add Immediate Launch Button in SI Workflows</t>
  </si>
  <si>
    <t>CT-10415</t>
  </si>
  <si>
    <t>Update SI Stage Page - Submission Overview step - EEO System is ReX Review</t>
  </si>
  <si>
    <t>CT-10400</t>
  </si>
  <si>
    <t>[Design] New Si Event Sender</t>
  </si>
  <si>
    <t>CT-10399</t>
  </si>
  <si>
    <t>[Impl] SI Report Analysis for Rex Review Message</t>
  </si>
  <si>
    <t>CT-10397</t>
  </si>
  <si>
    <t>[Impl] SI Report Analysis for Rex Submission Message</t>
  </si>
  <si>
    <t>CT-10392</t>
  </si>
  <si>
    <t>[Design]SIMT TraceId - prototype demo for scheduled task</t>
  </si>
  <si>
    <t>CT-10390</t>
  </si>
  <si>
    <t>[Design]SIMT TraceId - prototype demo for sub thread</t>
  </si>
  <si>
    <t>CT-10384</t>
  </si>
  <si>
    <t>[Design] - Rex Submission - Application design to process Message</t>
  </si>
  <si>
    <t>CT-10379</t>
  </si>
  <si>
    <t>[Design] - Rex Review- Application design to process Message</t>
  </si>
  <si>
    <t>CT-10371</t>
  </si>
  <si>
    <t>[impl] Managing journals assigned to the Journal Manager role</t>
  </si>
  <si>
    <t>CT-10244</t>
  </si>
  <si>
    <t>New Special Issue Overview Dashboard</t>
  </si>
  <si>
    <t>CT-10243</t>
  </si>
  <si>
    <t>[impl] Create ability to assign journals to a Journal Manager</t>
  </si>
  <si>
    <t>CT-10226</t>
  </si>
  <si>
    <t>[impl] Redesign the Special Issue menu section</t>
  </si>
  <si>
    <t>CT-10225</t>
  </si>
  <si>
    <t>[impl] Create Journal Manager role and si:write-jm permission</t>
  </si>
  <si>
    <t>CT-10224</t>
  </si>
  <si>
    <t>SI Detail Page - Submission Overview - EEO System is ReX Review</t>
  </si>
  <si>
    <t>CT-9118</t>
  </si>
  <si>
    <t>Datafields required by Marketing from SIMT</t>
  </si>
  <si>
    <t>CT-10238</t>
  </si>
  <si>
    <t>Imporvement for the creation of SIP and SI</t>
  </si>
  <si>
    <t>CT-10422</t>
  </si>
  <si>
    <t>[Impl] Create API for generic SI</t>
  </si>
  <si>
    <t>CT-10189</t>
  </si>
  <si>
    <t>[Backend] Need a generic way to test the email var preparation.</t>
  </si>
  <si>
    <t>CT-10149</t>
  </si>
  <si>
    <t>[Backend] Need a warpped service to process the send email progress.</t>
  </si>
  <si>
    <t>Add CFP url and publication link in the SI Async API</t>
  </si>
  <si>
    <t>CT-10427</t>
  </si>
  <si>
    <t>New SI Details Page - Updating</t>
  </si>
  <si>
    <t xml:space="preserve">generic story, any </t>
  </si>
  <si>
    <t>CT-10425</t>
  </si>
  <si>
    <t>[Implement] New Si WorkFlow Executor</t>
  </si>
  <si>
    <t>CT-10423</t>
  </si>
  <si>
    <t>[Implement] New Si WorkFlow Define</t>
  </si>
  <si>
    <t>CT-10421</t>
  </si>
  <si>
    <t>New SI Workflow - Delete Draft SI</t>
  </si>
  <si>
    <t>close- close test task, low priority</t>
  </si>
  <si>
    <t>CT-10406</t>
  </si>
  <si>
    <t>[Design] Generic SI API</t>
  </si>
  <si>
    <t>CT-10374</t>
  </si>
  <si>
    <t>[Design]SIMT TraceId - UT and Integration Test</t>
  </si>
  <si>
    <t>CT-10370</t>
  </si>
  <si>
    <t>New SI Workflow - Draft Stage</t>
  </si>
  <si>
    <t>2 high priority issues</t>
  </si>
  <si>
    <t>CT-10348</t>
  </si>
  <si>
    <t>Updates to the SI Events API</t>
  </si>
  <si>
    <t>CT-10343</t>
  </si>
  <si>
    <t>New SI Workflow - Shelved Stage</t>
  </si>
  <si>
    <t>CT-10342</t>
  </si>
  <si>
    <t>New SI Workflow - Published Stage</t>
  </si>
  <si>
    <t>CT-10341</t>
  </si>
  <si>
    <t>New SI Workflow - Closed Stage</t>
  </si>
  <si>
    <t>Verify the bug</t>
  </si>
  <si>
    <t>CT-10340</t>
  </si>
  <si>
    <t>New SI Workflow - Submission and Review Stage</t>
  </si>
  <si>
    <t>CT-10339</t>
  </si>
  <si>
    <t>New SI Workflow - Acquired Stage</t>
  </si>
  <si>
    <t>Ming</t>
  </si>
  <si>
    <t>CT-10274</t>
  </si>
  <si>
    <t>FY25Q4 - Sprint 3 PROD Support</t>
  </si>
  <si>
    <t>CT-10271</t>
  </si>
  <si>
    <t>New SI Details Page - Displaying</t>
  </si>
  <si>
    <t>different stage</t>
  </si>
  <si>
    <t>CT-10247</t>
  </si>
  <si>
    <t>[Impl] New SI Overview - Create Page</t>
  </si>
  <si>
    <t>verify fixed defects</t>
  </si>
  <si>
    <t>CT-10246</t>
  </si>
  <si>
    <t>New SI Overview - Table</t>
  </si>
  <si>
    <t>priviledge/Elwin</t>
  </si>
  <si>
    <t>CT-10245</t>
  </si>
  <si>
    <t>New SI Overview - Filter</t>
  </si>
  <si>
    <t>Elwin</t>
  </si>
  <si>
    <t>CT-10292</t>
  </si>
  <si>
    <t>User Management - Users should not be deleted if associated with In Progress SIPs/SIs</t>
  </si>
  <si>
    <t>CT-10223</t>
  </si>
  <si>
    <t>[Implement] SIMT Consumes Events from ReX Submission</t>
  </si>
  <si>
    <t>CT-10221</t>
  </si>
  <si>
    <t>[Implement] SIMT Consumes Events from ReX Review</t>
  </si>
  <si>
    <t>CT-10378</t>
  </si>
  <si>
    <t>[Design]SIMT TraceId - Design each key points based on the prototype</t>
  </si>
  <si>
    <t>CT-10198</t>
  </si>
  <si>
    <t>[DB] liquibase migration</t>
  </si>
  <si>
    <t>CT-10493</t>
  </si>
  <si>
    <t>TraceID - select/filter on AWS cloudwatch</t>
  </si>
  <si>
    <t>huixin</t>
  </si>
  <si>
    <t>CT-10482</t>
  </si>
  <si>
    <t>[Impl] SIMT TraceId - scheduled tasks propagation</t>
  </si>
  <si>
    <t>CT-10396</t>
  </si>
  <si>
    <t xml:space="preserve">Generic SI Async API design  </t>
  </si>
  <si>
    <t>Enhancement</t>
  </si>
  <si>
    <t>CT-10853</t>
  </si>
  <si>
    <t>Solution for LeadGE role changing after the Submitted Stage - Scenario2 After Saving</t>
  </si>
  <si>
    <t>CT-9996</t>
  </si>
  <si>
    <t>Solution for LeadGE role changing after the Submitted Stage - Scenario1 revision submit</t>
  </si>
  <si>
    <t>CT-10854</t>
  </si>
  <si>
    <t xml:space="preserve">Solution for LeadGE role changing after the Submitted Stage - Common Logic </t>
  </si>
  <si>
    <t>no design</t>
  </si>
  <si>
    <t>CT-10850</t>
  </si>
  <si>
    <t>New SI Workflow - Email Templates - sending and filling variables</t>
  </si>
  <si>
    <t>CT-10647</t>
  </si>
  <si>
    <t>[Improvement] EEO system changes to ReX Review after SI Acquisition</t>
  </si>
  <si>
    <t>CT-10435</t>
  </si>
  <si>
    <t>TAT Reports - Breakdown between Ex-Hindawi and Wiley Journals</t>
  </si>
  <si>
    <t>api test design</t>
  </si>
  <si>
    <t>CT-10426</t>
  </si>
  <si>
    <t>[Implement] New Si Event Sender</t>
  </si>
  <si>
    <t>CT-10424</t>
  </si>
  <si>
    <t>[Implement] New SI Trigger By Dead Line</t>
  </si>
  <si>
    <t>CT-10355</t>
  </si>
  <si>
    <t>Ideation TAT Reporting</t>
  </si>
  <si>
    <t xml:space="preserve">Yuxin, testing postpone to next </t>
  </si>
  <si>
    <t>CT-10345</t>
  </si>
  <si>
    <t>SI Workflow - Extend Submission Deadline after the date has passed</t>
  </si>
  <si>
    <t>CT-10344</t>
  </si>
  <si>
    <t>New SI Workflow - Email Templates</t>
  </si>
  <si>
    <t>CT-9846</t>
  </si>
  <si>
    <t>External User Email Template Updates</t>
  </si>
  <si>
    <t>CT-9541</t>
  </si>
  <si>
    <t>Remove the DB view in the simt</t>
  </si>
  <si>
    <t>CT-10434</t>
  </si>
  <si>
    <t>CE Chase Tracker - Add Ideation (Awaiting Revision)</t>
  </si>
  <si>
    <t>CT-10433</t>
  </si>
  <si>
    <t>Include CE Review in CDS Chase Tracker</t>
  </si>
  <si>
    <t>CT-10432</t>
  </si>
  <si>
    <t>SIP Reporting Filters Function - Backend</t>
  </si>
  <si>
    <t>CT-10431</t>
  </si>
  <si>
    <t>TAT Reporting Export Function</t>
  </si>
  <si>
    <t>CT-10430</t>
  </si>
  <si>
    <t>Interactive Numbers in Reporting Tables</t>
  </si>
  <si>
    <t>CT-10420</t>
  </si>
  <si>
    <t>[Design] - using internal link/page to display previous external pages</t>
  </si>
  <si>
    <t>CT-10402</t>
  </si>
  <si>
    <t>[Impl] STEP Topic Switch to Product API</t>
  </si>
  <si>
    <t>CT-10364</t>
  </si>
  <si>
    <t>Overall TAT Reporting</t>
  </si>
  <si>
    <t>CT-10363</t>
  </si>
  <si>
    <t>SI Launch TAT Reporting</t>
  </si>
  <si>
    <t>CT-10361</t>
  </si>
  <si>
    <t>JE Review TAT Reporting</t>
  </si>
  <si>
    <t>CT-10360</t>
  </si>
  <si>
    <t>CE Review TAT Reporting</t>
  </si>
  <si>
    <t>CT-10359</t>
  </si>
  <si>
    <t>EBM Review TAT Reporting</t>
  </si>
  <si>
    <t>CT-10358</t>
  </si>
  <si>
    <t>Revision TAT Reporting</t>
  </si>
  <si>
    <t>CT-10357</t>
  </si>
  <si>
    <t>Screening TAT Reporting</t>
  </si>
  <si>
    <t>CT-10356</t>
  </si>
  <si>
    <t>Submitted TAT Reporting</t>
  </si>
  <si>
    <t>CT-10429</t>
  </si>
  <si>
    <t>TAT Reporting Display Requirements</t>
  </si>
  <si>
    <t>CT-10992</t>
  </si>
  <si>
    <t>SI Workflow - Journal Name/Journal Code Not Editable</t>
  </si>
  <si>
    <t>CT-10979</t>
  </si>
  <si>
    <t>TAT Reporting Record Fiscal Year Data</t>
  </si>
  <si>
    <t>Lili</t>
  </si>
  <si>
    <t>CT-11042</t>
  </si>
  <si>
    <t>SIP Reporting Filters Function - Frontend</t>
  </si>
  <si>
    <t>CT-9511</t>
  </si>
  <si>
    <t>sync up the journal status with STEP</t>
  </si>
  <si>
    <t>CT-10967</t>
  </si>
  <si>
    <t>[FE]Common Multiselect box component</t>
  </si>
  <si>
    <t>CT-10624</t>
  </si>
  <si>
    <t>[DB apply] liquibase migration</t>
  </si>
  <si>
    <t>CT-10401</t>
  </si>
  <si>
    <t>[Discovery] STEP Topic Switch to Product API</t>
  </si>
  <si>
    <t>CT-10362</t>
  </si>
  <si>
    <t>SI Acquisition TAT Reporting</t>
  </si>
  <si>
    <t>CT-9759</t>
  </si>
  <si>
    <t>Delete cv failed on SIP detail page GE information</t>
  </si>
  <si>
    <t>CT-9758</t>
  </si>
  <si>
    <t>Delete cv at wrong moment on SIP detail page GE information</t>
  </si>
  <si>
    <t>Integrate all file upload functions into one set of logic.</t>
  </si>
  <si>
    <t xml:space="preserve">CT-9224 </t>
  </si>
  <si>
    <t>FY25Q3 - Sprint 1 PROD Support</t>
  </si>
  <si>
    <t>CT-9070</t>
  </si>
  <si>
    <t xml:space="preserve"> SI Acquisition - Open For Submission Date</t>
  </si>
  <si>
    <t>CT-9076</t>
  </si>
  <si>
    <t xml:space="preserve"> Display journal EEO System in SI Detail page</t>
  </si>
  <si>
    <t>CT-9022</t>
  </si>
  <si>
    <t xml:space="preserve"> Revise SI Set Up in Submission System Email</t>
  </si>
  <si>
    <t>CT-9091</t>
  </si>
  <si>
    <t xml:space="preserve"> Set up a new SI email template for "Reminder on upcoming "Open for Submission Date""</t>
  </si>
  <si>
    <t xml:space="preserve">CT-9331 </t>
  </si>
  <si>
    <t>Automatic SI Stage Update in relation to SI Open Event</t>
  </si>
  <si>
    <t>CT-9266</t>
  </si>
  <si>
    <t xml:space="preserve"> SI Details - Closed for Submission</t>
  </si>
  <si>
    <t>CT-9049</t>
  </si>
  <si>
    <t xml:space="preserve"> SI Acquired Date is SI Acquisition Date</t>
  </si>
  <si>
    <t>CT-9267</t>
  </si>
  <si>
    <t xml:space="preserve"> Set up a new SI email template for "Reminder on upcoming "Submission Deadline""</t>
  </si>
  <si>
    <t>CT-9088</t>
  </si>
  <si>
    <t xml:space="preserve"> Revise SI Title and GE Access Remove from Submission System</t>
  </si>
  <si>
    <t>CT-9355</t>
  </si>
  <si>
    <t xml:space="preserve"> [Research] Technical design of Async API for SIP Events API</t>
  </si>
  <si>
    <t>CT-9218</t>
  </si>
  <si>
    <t xml:space="preserve"> [E2E Research] CONNECT Integration for all types of users</t>
  </si>
  <si>
    <t>CT-9402</t>
  </si>
  <si>
    <t xml:space="preserve"> [Connect API] Simt all types of users authenticate in Connect</t>
  </si>
  <si>
    <t xml:space="preserve">CT-9403 </t>
  </si>
  <si>
    <t>[Connect API] Simt all types of users synchronizes information from Connect.</t>
  </si>
  <si>
    <t>CT-8952</t>
  </si>
  <si>
    <t xml:space="preserve"> [Tech] Front-end Components Analysis</t>
  </si>
  <si>
    <t xml:space="preserve">CT-9421 </t>
  </si>
  <si>
    <t>[UIUX] Need a forbiden tips when the user have no promissions to view SIP detail page</t>
  </si>
  <si>
    <t xml:space="preserve">CT-8322 </t>
  </si>
  <si>
    <t>Q2 release support</t>
  </si>
  <si>
    <t xml:space="preserve">CT-8372 </t>
  </si>
  <si>
    <t>AWS Authorization configure for SE</t>
  </si>
  <si>
    <t>CT-9453</t>
  </si>
  <si>
    <t xml:space="preserve"> Automation tasks</t>
  </si>
  <si>
    <t xml:space="preserve">CT-8932 </t>
  </si>
  <si>
    <t>CT-9316</t>
  </si>
  <si>
    <t xml:space="preserve"> Kafka work track</t>
  </si>
  <si>
    <t>CT-9225</t>
  </si>
  <si>
    <t>FY25Q3 - Sprint 2 PROD Support</t>
  </si>
  <si>
    <t>CT-9405</t>
  </si>
  <si>
    <t>[SIP Detail Page] Unified permission verification</t>
  </si>
  <si>
    <t>CT-9404</t>
  </si>
  <si>
    <t>[New Role] User creation and role binding</t>
  </si>
  <si>
    <t>CT-9407</t>
  </si>
  <si>
    <t>[Email Template] SIP external link placeholder replace to revise/jeRevise link.</t>
  </si>
  <si>
    <t>sprint3</t>
  </si>
  <si>
    <t>CT-9291</t>
  </si>
  <si>
    <t>Refine how References are displayed across the SIP and SI workflows</t>
  </si>
  <si>
    <t>CT-8936</t>
  </si>
  <si>
    <t>SIP Form User Profile</t>
  </si>
  <si>
    <t>sprint2</t>
  </si>
  <si>
    <t>CT-9015</t>
  </si>
  <si>
    <t>Marketing attribution on SIP form</t>
  </si>
  <si>
    <t>CT-8832</t>
  </si>
  <si>
    <t>Expand "si:write-ops" permission to other SI stages</t>
  </si>
  <si>
    <t>CT-8702</t>
  </si>
  <si>
    <t>Revise Content Commissioning Approaches in SI Acquisition</t>
  </si>
  <si>
    <t>CT-9223</t>
  </si>
  <si>
    <t>SIP - Open Call for Paper Updates</t>
  </si>
  <si>
    <t>CT-9290</t>
  </si>
  <si>
    <t>Aims &amp; Scope Requirement</t>
  </si>
  <si>
    <t>CT-9195</t>
  </si>
  <si>
    <t>Ops Lead Reassignment</t>
  </si>
  <si>
    <t>CT-9194</t>
  </si>
  <si>
    <t>Automate SIP keyword generation via Auto-Tagger</t>
  </si>
  <si>
    <t>CT-8963</t>
  </si>
  <si>
    <t>[Front-end Tech] SI Overview Page Performance Analysis and Optimization</t>
  </si>
  <si>
    <t>CT-7718</t>
  </si>
  <si>
    <t>prod DB dump pipeline</t>
  </si>
  <si>
    <t>CT-9410</t>
  </si>
  <si>
    <t>CONNECT for Publisher</t>
  </si>
  <si>
    <t>CT-9409</t>
  </si>
  <si>
    <t>Create Publisher permission and role</t>
  </si>
  <si>
    <t>CT-9394</t>
  </si>
  <si>
    <t>Connect Over all design for permission</t>
  </si>
  <si>
    <t>CT-9069</t>
  </si>
  <si>
    <t>SIMT User Profile Improvements</t>
  </si>
  <si>
    <t>qihang</t>
  </si>
  <si>
    <t>CT-9068</t>
  </si>
  <si>
    <t>CONNECT for Wiley users</t>
  </si>
  <si>
    <t>CT-9066</t>
  </si>
  <si>
    <t>CONNECT for EBM</t>
  </si>
  <si>
    <t>CT-9061</t>
  </si>
  <si>
    <t>Create EBM permission and role</t>
  </si>
  <si>
    <t>CT-9055</t>
  </si>
  <si>
    <t>CONNECT for Journal-Editor</t>
  </si>
  <si>
    <t>CT-9054</t>
  </si>
  <si>
    <t>Create Journal-Editor permission and role</t>
  </si>
  <si>
    <t>CT-9051</t>
  </si>
  <si>
    <t>CONNECT for Co-GE</t>
  </si>
  <si>
    <t>CT-9045</t>
  </si>
  <si>
    <t>Create Guest Editor role and permissions</t>
  </si>
  <si>
    <t>CT-9042</t>
  </si>
  <si>
    <t>CONNECT for Lead-GE</t>
  </si>
  <si>
    <t>CT-9610</t>
  </si>
  <si>
    <t>[New Role] One user corresponds to multiple roles.</t>
  </si>
  <si>
    <t>CT-9722</t>
  </si>
  <si>
    <t>Maintaining user login status through Connect refresh token.</t>
  </si>
  <si>
    <t>CT-9606</t>
  </si>
  <si>
    <t>[SIP] Visibility of AI Acquisition button judge by the decision API</t>
  </si>
  <si>
    <t>CT-9509</t>
  </si>
  <si>
    <t>Remove Co-GEs from the CC line of all email templates</t>
  </si>
  <si>
    <t>CT-9434</t>
  </si>
  <si>
    <t>Hide "Assign to Screener" button once initial Screener is assigned</t>
  </si>
  <si>
    <t>CT-9433</t>
  </si>
  <si>
    <t>Redesign Screener Reassignment</t>
  </si>
  <si>
    <t>CT-9419</t>
  </si>
  <si>
    <t>[existing user management change] add last login time in current user management page</t>
  </si>
  <si>
    <t>CT-9418</t>
  </si>
  <si>
    <t>[existing user management change] system admin after login from CONNECT, keep the same landing page - user management page</t>
  </si>
  <si>
    <t>CT-9417</t>
  </si>
  <si>
    <t>[existing user management change] remove current login page - hCAPTCHA decommission</t>
  </si>
  <si>
    <t>regression cases</t>
  </si>
  <si>
    <t>CT-9416</t>
  </si>
  <si>
    <t>[existing user management change] remove reset password button in user management page</t>
  </si>
  <si>
    <t>Case include in CT-9069</t>
  </si>
  <si>
    <t>[existing user management change] [enhance system admin] in current user management page, system admin users can create, view, delete, update other system admin accounts, but set account zgao@wiley.com to read-only mode</t>
  </si>
  <si>
    <t>CT-9414</t>
  </si>
  <si>
    <t>[existing user management change] [enhance system admin] create a pre-configured role - system admin in current role list which is read-only mode, permissions is same as current system admin</t>
  </si>
  <si>
    <t>CT-9413</t>
  </si>
  <si>
    <t>[existing user management change] remove super admin feature</t>
  </si>
  <si>
    <t>CT-9383</t>
  </si>
  <si>
    <t>[Impl] SI Event sending - deleting</t>
  </si>
  <si>
    <t>CT-9382</t>
  </si>
  <si>
    <t>[Impl] SIP Event sending - deleting</t>
  </si>
  <si>
    <t>CT-9381</t>
  </si>
  <si>
    <t>CT-9380</t>
  </si>
  <si>
    <t>[Impl] SIP Event sending - creation</t>
  </si>
  <si>
    <t>CT-9354</t>
  </si>
  <si>
    <t>New attribute: Curation Type (SI Acquisition)</t>
  </si>
  <si>
    <t>CT-9352</t>
  </si>
  <si>
    <t>New attribute: Curation Type (SI Workflow)</t>
  </si>
  <si>
    <t>CT-9721</t>
  </si>
  <si>
    <t>Change request APIs for external SIP detail pages for CONNECT conversion</t>
  </si>
  <si>
    <t>CT-9713</t>
  </si>
  <si>
    <t>[Front-end Tech] SI Overview Page Performance Optimization - II</t>
  </si>
  <si>
    <t>CT-8139</t>
  </si>
  <si>
    <t>[Front-end Tech] Lazy Load [Wrap up] + Router Refactor [Tech Design + Discussion + Implementation]</t>
  </si>
  <si>
    <t>UI automation result check</t>
  </si>
  <si>
    <t>CT-9877</t>
  </si>
  <si>
    <t>User Profile Panel to be shown to all users</t>
  </si>
  <si>
    <t>assign to each owner</t>
  </si>
  <si>
    <t>[SIP] Visibility of SI Acquisition button is controlled by the decision API automatically</t>
  </si>
  <si>
    <t>sprint5</t>
  </si>
  <si>
    <t>CT-9265</t>
  </si>
  <si>
    <t>Move journal update kafka topic to the new topic</t>
  </si>
  <si>
    <t>CT-10025</t>
  </si>
  <si>
    <t>External link pages use new unauthorized error pages</t>
  </si>
  <si>
    <t>CT-9561</t>
  </si>
  <si>
    <t>Need expose an API for QA member to trigger auto job in advance for API automation test</t>
  </si>
  <si>
    <t>CT-9391</t>
  </si>
  <si>
    <t>Unified internal call: getCurrentUser()</t>
  </si>
  <si>
    <t>api</t>
  </si>
  <si>
    <t>sip related regression cases</t>
  </si>
  <si>
    <t>CT-9374</t>
  </si>
  <si>
    <t>[FE]Mechanism of uniform code style</t>
  </si>
  <si>
    <t>regression</t>
  </si>
  <si>
    <t>CT-9358</t>
  </si>
  <si>
    <t>Expand AI Screening reporting</t>
  </si>
  <si>
    <t>functional,  tester Sameera</t>
  </si>
  <si>
    <t>CT-9344</t>
  </si>
  <si>
    <t>Revise EBM Invitation Email</t>
  </si>
  <si>
    <t>functional tester Lily</t>
  </si>
  <si>
    <t>CT-9343</t>
  </si>
  <si>
    <t>Refine Cancel EBM Invitations</t>
  </si>
  <si>
    <t>functional, tester Lily</t>
  </si>
  <si>
    <t>CT-9342</t>
  </si>
  <si>
    <t>EBM Review - Manual EBM Invitation</t>
  </si>
  <si>
    <t>tester Sameera</t>
  </si>
  <si>
    <t>tester Lily</t>
  </si>
  <si>
    <t>CT-9340</t>
  </si>
  <si>
    <t>EBM Review Panel - Add "EBM Suggestion Tool" and "Manual EBM Invitation" Options</t>
  </si>
  <si>
    <t>Tester Sameera</t>
  </si>
  <si>
    <t>CT-8586</t>
  </si>
  <si>
    <t>[Frontend] Email Regex refactor</t>
  </si>
  <si>
    <t>Email format related regression</t>
  </si>
  <si>
    <t>CT-8428</t>
  </si>
  <si>
    <t>[Optimization] Duplicate API calls related to SIP module</t>
  </si>
  <si>
    <t>CT-8324</t>
  </si>
  <si>
    <t>[Research] The front-end framework is stuck after the overall refresh:</t>
  </si>
  <si>
    <t>CT-8910</t>
  </si>
  <si>
    <t>EBM Review Panel Visibility</t>
  </si>
  <si>
    <t>7/31-8/13</t>
  </si>
  <si>
    <t>CT-8423</t>
  </si>
  <si>
    <t>Create script for batch update for existing SIPs after the FY25Q1 release</t>
  </si>
  <si>
    <t>CT-8410</t>
  </si>
  <si>
    <t>FY25Q2 - Sprint 1 PROD Support</t>
  </si>
  <si>
    <t>CT-8409</t>
  </si>
  <si>
    <t>Q1 UAT Bugs Resolution</t>
  </si>
  <si>
    <t>CT-8433</t>
  </si>
  <si>
    <t>[Front-end] Upgrade Front-end Bundler</t>
  </si>
  <si>
    <t>CT-8352</t>
  </si>
  <si>
    <t>Whitelist configuration</t>
  </si>
  <si>
    <t>CT-8347</t>
  </si>
  <si>
    <t>Generate UUID for SI &amp; SIP</t>
  </si>
  <si>
    <t>CT-8341</t>
  </si>
  <si>
    <t>[Design] SI event type defining</t>
  </si>
  <si>
    <t>CT-8340</t>
  </si>
  <si>
    <t>SI Topic creation</t>
  </si>
  <si>
    <t>CT-8336</t>
  </si>
  <si>
    <t>Migrate SIMT UAT ENVs to AWS Global</t>
  </si>
  <si>
    <t>CT-8335</t>
  </si>
  <si>
    <t>Migrate SIMT data from AWS China to AWS Global[UAT]</t>
  </si>
  <si>
    <t>CT-8334</t>
  </si>
  <si>
    <t>Migrate SIMT domain name from wiley.cn to wiley.com</t>
  </si>
  <si>
    <t>CT-8332</t>
  </si>
  <si>
    <t>AWS Global Deployment ENV Preparation</t>
  </si>
  <si>
    <t>CT-7894</t>
  </si>
  <si>
    <t>[DESIGN] Generate UUID for SI &amp; SIP</t>
  </si>
  <si>
    <t>CT-7893</t>
  </si>
  <si>
    <t>Migrate to STEP Product API</t>
  </si>
  <si>
    <t>8/14-8/27</t>
  </si>
  <si>
    <t>verify -update successfully</t>
  </si>
  <si>
    <t>CT-7806</t>
  </si>
  <si>
    <t>Upgrade Atypon PKG APIs for AI Screening features</t>
  </si>
  <si>
    <t>Perf test</t>
  </si>
  <si>
    <t>CT-8417</t>
  </si>
  <si>
    <t>Migrate SIMT data from AWS China to AWS Global[PROD]</t>
  </si>
  <si>
    <t>CT-8411</t>
  </si>
  <si>
    <t>FY25Q2 - Sprint 2 PROD Support</t>
  </si>
  <si>
    <t>CT-8300</t>
  </si>
  <si>
    <t>SSIP and USIP Workflow - Update Proposer Agree Email Templates</t>
  </si>
  <si>
    <t>Lili/Winky</t>
  </si>
  <si>
    <t>CT-8298</t>
  </si>
  <si>
    <t>SSIP and USIP Workflow - Mutual Accept stage - SI Acquisition Updates</t>
  </si>
  <si>
    <t>CT-8297</t>
  </si>
  <si>
    <t>SSIP and USIP Workflow - Mutual Accept Stage - Remove ownership for CE and JPA</t>
  </si>
  <si>
    <t>CT-8295</t>
  </si>
  <si>
    <t>SSIP and USIP Workflow - Mutual Accept Stage - Change ownership to Ops Lead</t>
  </si>
  <si>
    <t>CT-8343</t>
  </si>
  <si>
    <t>[Design] SI updating event data model defining</t>
  </si>
  <si>
    <t>CT-8342</t>
  </si>
  <si>
    <t>[Design] SI creating data model defining</t>
  </si>
  <si>
    <t>CT-8141</t>
  </si>
  <si>
    <t>[Front-end] Add Safe Components/Error boundary</t>
  </si>
  <si>
    <t>Exception mock</t>
  </si>
  <si>
    <t>CT-7874</t>
  </si>
  <si>
    <t>[Configurable Workflow 5] Three types of workflow data definitions</t>
  </si>
  <si>
    <t>8/28-9/10</t>
  </si>
  <si>
    <t>CT-8429</t>
  </si>
  <si>
    <t>Update and run script for batch update for existing SIPs after the FY25Q1 release</t>
  </si>
  <si>
    <t>CT-8418</t>
  </si>
  <si>
    <t>Migrate SIMT data from AWS China to AWS Global[DEV&amp;QA]</t>
  </si>
  <si>
    <t>CT-8416</t>
  </si>
  <si>
    <t>Migrate SIMT DEV&amp;QA ENVs to AWS Global</t>
  </si>
  <si>
    <t>CT-8412</t>
  </si>
  <si>
    <t>FY25Q2 - Sprint 3 PROD Support</t>
  </si>
  <si>
    <t>CT-8303</t>
  </si>
  <si>
    <t>SI Workflow - Acquired Stage - Update Stage Email Notification</t>
  </si>
  <si>
    <t>CT-8302</t>
  </si>
  <si>
    <t>SI Workflow - Acquired Stage - Remove permission from Commissioning Editor</t>
  </si>
  <si>
    <t>CT-8301</t>
  </si>
  <si>
    <t>SI Workflow - Acquired Stage - Change ownership to Ops Lead</t>
  </si>
  <si>
    <t>CT-7531</t>
  </si>
  <si>
    <t>SI Workflow - Acquired Stage - Update Stakeholder Email Templates</t>
  </si>
  <si>
    <t>CT-8722</t>
  </si>
  <si>
    <t>SIMT Q1 release</t>
  </si>
  <si>
    <t>CT-8723</t>
  </si>
  <si>
    <t>[Design] SIMT Async API SI Data Modeling</t>
  </si>
  <si>
    <t>CT-7715</t>
  </si>
  <si>
    <t>[Front-end] Decision panel Configurable components Migration</t>
  </si>
  <si>
    <t>CT-8333</t>
  </si>
  <si>
    <t>Migrate SIMT PROD to AWS global env</t>
  </si>
  <si>
    <t>CT-7873</t>
  </si>
  <si>
    <t>[Configurable Workflow 4] SIMT process data refactoring, and refresh historical data</t>
  </si>
  <si>
    <t>CT-8344</t>
  </si>
  <si>
    <t>Emitting SI creating event implementation</t>
  </si>
  <si>
    <t>CT-8326</t>
  </si>
  <si>
    <t>[Configurable Workflow 7 Design] SIMT integrated workflow control</t>
  </si>
  <si>
    <t>CT-8138</t>
  </si>
  <si>
    <t>[Front-end] Bundles Optimization</t>
  </si>
  <si>
    <t>CT-8705</t>
  </si>
  <si>
    <t>[Front-end] Safe Components/Error boundary Implementation</t>
  </si>
  <si>
    <t>CT-8674</t>
  </si>
  <si>
    <t>Lazy load for user's alerts</t>
  </si>
  <si>
    <t>CT-7875</t>
  </si>
  <si>
    <t>[Configurable Workflow 6] flow_common service workflow control APIs</t>
  </si>
  <si>
    <t>CT-8304</t>
  </si>
  <si>
    <t>SIP Reporting - Create Page under Report Menu</t>
  </si>
  <si>
    <t>CT-7780</t>
  </si>
  <si>
    <t>SIP Reporting - CDS Chase Tracker</t>
  </si>
  <si>
    <t>CT-8837</t>
  </si>
  <si>
    <t>[Configurable Workflow 7-1]  Refactoring of general flow logic</t>
  </si>
  <si>
    <t>CT-8838</t>
  </si>
  <si>
    <t>[Configurable Workflow 7-2]  Refactoring of special flow logic</t>
  </si>
  <si>
    <t>CT-8839</t>
  </si>
  <si>
    <t>[Configurable Workflow 7-3]  New Process flow API</t>
  </si>
  <si>
    <t>CT-8840</t>
  </si>
  <si>
    <t>[Configurable Workflow 7-4]  FrontEnd Switch to new process flow Api</t>
  </si>
  <si>
    <t>CT-7937</t>
  </si>
  <si>
    <t>[Refinement] Response of Backend will include decision panel displaying flag</t>
  </si>
  <si>
    <t>CT-8830</t>
  </si>
  <si>
    <t>Common Email Component - SSIP</t>
  </si>
  <si>
    <t>CT-8862</t>
  </si>
  <si>
    <t xml:space="preserve">[Login page]Fix the problem of too many nesting of MUI component </t>
  </si>
  <si>
    <t>9/11-9/25</t>
  </si>
  <si>
    <t>CT-8367</t>
  </si>
  <si>
    <t>AI Screening Report - Record Number of errors per API</t>
  </si>
  <si>
    <t>CT-8366</t>
  </si>
  <si>
    <t>AI Screening Report - Record Number of AI Screening Reports Downloaded</t>
  </si>
  <si>
    <t>CT-8365</t>
  </si>
  <si>
    <t>AI Screening Report - Record Number of AI Screening Reports Generated</t>
  </si>
  <si>
    <t>CT-8364</t>
  </si>
  <si>
    <t xml:space="preserve">AI Screening Report - Record Number of SI Proposals Checked </t>
  </si>
  <si>
    <t>CT-8368</t>
  </si>
  <si>
    <t>AI Screening Report - Surface recorded events to relevant stakeholders</t>
  </si>
  <si>
    <t>CT-8339</t>
  </si>
  <si>
    <t>Improvement - JE Revision and GE Revision Returned Email Templates</t>
  </si>
  <si>
    <t>CT-8345</t>
  </si>
  <si>
    <t>Emitting SI updating event implementation</t>
  </si>
  <si>
    <t>CT-8419</t>
  </si>
  <si>
    <t>[Front-end] Decision panel Configurable components Migration (USIP)</t>
  </si>
  <si>
    <t>CT-8774</t>
  </si>
  <si>
    <t>SSIP - Direct Acquire Flow - Improvement</t>
  </si>
  <si>
    <t>CT-8613</t>
  </si>
  <si>
    <t>SIMT Keywords - Remove requirement from SIMT</t>
  </si>
  <si>
    <t>10/9-10/23</t>
  </si>
  <si>
    <t>lili</t>
  </si>
  <si>
    <t>CT-7711</t>
  </si>
  <si>
    <t>[DB reorg][implement] Discard  t_sip_extend_ddl, merge to table 't_sip_external_link_logins'</t>
  </si>
  <si>
    <t>CT-8548</t>
  </si>
  <si>
    <t xml:space="preserve">Errors on Revision Form </t>
  </si>
  <si>
    <t>CT-9002</t>
  </si>
  <si>
    <t>[Front-end] Redefine Frontend Project Structure</t>
  </si>
  <si>
    <t>CT-8870</t>
  </si>
  <si>
    <t>Add Jest into frontend for Unit testing</t>
  </si>
  <si>
    <t>Not need QA testing</t>
  </si>
  <si>
    <t>CT-8420</t>
  </si>
  <si>
    <t>Add version info in the page</t>
  </si>
  <si>
    <t>CT-8307</t>
  </si>
  <si>
    <t>SIP Reporting - SIP Pipeline by Stages</t>
  </si>
  <si>
    <t>CT-8306</t>
  </si>
  <si>
    <t>SIP Reporting - CE Chase Tracker</t>
  </si>
  <si>
    <t>CT-8305</t>
  </si>
  <si>
    <t>SIP Reporting - Screener Chase Tracker</t>
  </si>
  <si>
    <t>CT-8831</t>
  </si>
  <si>
    <t>Common Email Component - USIP</t>
  </si>
  <si>
    <t>cc/bcc editable</t>
  </si>
  <si>
    <t>CT-8834</t>
  </si>
  <si>
    <t>Common Email Component - SI</t>
  </si>
  <si>
    <t>confirm</t>
  </si>
  <si>
    <t>CT-9230</t>
  </si>
  <si>
    <t>[Async API]New event for SI opening</t>
  </si>
  <si>
    <t>CT-9036</t>
  </si>
  <si>
    <t>Test For kafka message sending</t>
  </si>
  <si>
    <t>CT-7707</t>
  </si>
  <si>
    <t>[DB reorg] uniqueness constraint missing</t>
  </si>
  <si>
    <t>CT-8311</t>
  </si>
  <si>
    <t>Create script to enable the migration of active SIPs from Salesforce to SIMT</t>
  </si>
  <si>
    <t>CT-8391</t>
  </si>
  <si>
    <t>[Front-end] Redux Upgrade</t>
  </si>
  <si>
    <t>[Front-end] Add Lazy loading modules - Design and Implementation for most value</t>
  </si>
  <si>
    <t>Duration</t>
  </si>
  <si>
    <t>QA</t>
  </si>
  <si>
    <t>Capacity</t>
  </si>
  <si>
    <t>Sprint 0</t>
  </si>
  <si>
    <t>CT-7434</t>
  </si>
  <si>
    <t>Click 'Tab' will change the focus element in login page.</t>
  </si>
  <si>
    <t>5.2 -5.15</t>
  </si>
  <si>
    <t>8 days</t>
  </si>
  <si>
    <t>CT-7401</t>
  </si>
  <si>
    <t>[M1][AI Screening Improvement] use ISSN number instead of journal name to find the journal from PKG API response</t>
  </si>
  <si>
    <t>CT-7750</t>
  </si>
  <si>
    <t>User &amp; System - Role Management - Create New Roles</t>
  </si>
  <si>
    <t>CT-7258</t>
  </si>
  <si>
    <t>SIP Workflow - New Permission Role - "sip:write-ops"</t>
  </si>
  <si>
    <t>5 days</t>
  </si>
  <si>
    <t>CT-7172</t>
  </si>
  <si>
    <t>SIP Status - New Attribute - Operations Lead</t>
  </si>
  <si>
    <t>CT-7440</t>
  </si>
  <si>
    <t>SIP Overview - Create - Operations Lead Filters &amp; Columns - Solicited &amp; Unsolicited Workflow</t>
  </si>
  <si>
    <t>5.5 -5.28</t>
  </si>
  <si>
    <t>CT-7259</t>
  </si>
  <si>
    <t>SIP Workflow - New Permission Role - "sip:write-screener"</t>
  </si>
  <si>
    <t>CT-7182</t>
  </si>
  <si>
    <t>SIP Status - New Attribute - Screener</t>
  </si>
  <si>
    <t>CT-7441</t>
  </si>
  <si>
    <t>SIP Overview - Create - Filters &amp; Columns - Solicited &amp; Unsolicited Workflow</t>
  </si>
  <si>
    <t>CT-7261</t>
  </si>
  <si>
    <t>SIP Workflow - Update Permission Role - "sip:write-jpa"</t>
  </si>
  <si>
    <t>5.29 -6.11</t>
  </si>
  <si>
    <t>CT-7767</t>
  </si>
  <si>
    <t>Ideation and Submitted Stages - Update Email Templates</t>
  </si>
  <si>
    <t>CT-7260</t>
  </si>
  <si>
    <t>SIP Workflow - Update Permission Role - from "sip:write-handling-ce" to "sip:write-ce"</t>
  </si>
  <si>
    <t>CT-7183</t>
  </si>
  <si>
    <t>SIP Status - Rename Attribute - Handling CE</t>
  </si>
  <si>
    <t>4 days</t>
  </si>
  <si>
    <t>CT-7201</t>
  </si>
  <si>
    <t>Ideation Stage - Changes - Decision Step- Solicited Workflow</t>
  </si>
  <si>
    <t>CT-7240</t>
  </si>
  <si>
    <t>Submitted Stage - Create Stage - Solicited Workflow</t>
  </si>
  <si>
    <t>6.12-6.25</t>
  </si>
  <si>
    <t>CT-7202</t>
  </si>
  <si>
    <t>Submitted Stage - Create - Decision Step - Solicited Workflow</t>
  </si>
  <si>
    <t>CT-7204</t>
  </si>
  <si>
    <t>Submitted Stage - Changes - Decision Step - Unsolicited Workflow</t>
  </si>
  <si>
    <t>CT-7205</t>
  </si>
  <si>
    <t>Submitted Stage - Remove - Checklist Step - Unsolicited Workflow</t>
  </si>
  <si>
    <t>CT-7207</t>
  </si>
  <si>
    <t>Initial Review Stage - Create - Assign To Screener - Solicited &amp; Unsolicited Workflow</t>
  </si>
  <si>
    <t>Chunrui</t>
  </si>
  <si>
    <t>CT-7239</t>
  </si>
  <si>
    <t>Initial Review Stage - Create - Reassign Screener - Solicited &amp; Unsolicited Workflow</t>
  </si>
  <si>
    <t>CT-7206</t>
  </si>
  <si>
    <t>Initial Review Stage - Changes - Checklist Attributes - Solicited &amp; Unsolicited Workflow</t>
  </si>
  <si>
    <t>CT-7249</t>
  </si>
  <si>
    <t>CT-7250</t>
  </si>
  <si>
    <t>Initial Review Stage - Checklist for GE - Add "Overall Publication Number" - Solicited &amp; Unsolicited Workflow</t>
  </si>
  <si>
    <t>CT-7251</t>
  </si>
  <si>
    <t>Initial Review Stage - Checklist for GE - Add "Years of Research Experience " - Solicited &amp; Unsolicited Workflow</t>
  </si>
  <si>
    <t>CT-7262</t>
  </si>
  <si>
    <t>Initial Review Stage - Checklist for GE - Add "Suspect/Predatory Editorial Roles" - Solicited &amp; Unsolicited Workflow</t>
  </si>
  <si>
    <t>CT-7263</t>
  </si>
  <si>
    <t>Initial Review Stage - Checklist for GE - Update "Relevant Publication History" - Solicited &amp; Unsolicited Workflow</t>
  </si>
  <si>
    <t>CT-7264</t>
  </si>
  <si>
    <t>Initial Review Stage - Update - Immediate Decision Section - Submitted &amp; Unsubmitted Workflow</t>
  </si>
  <si>
    <t>CT-7222</t>
  </si>
  <si>
    <t>Initial Review Stage - Create - Complete Checklist - Solicited &amp; Unsolicited Workflow</t>
  </si>
  <si>
    <t>CT-7800</t>
  </si>
  <si>
    <t>Ideation Stage - Additional Attribute in Decision Panel - Solicited Workflow</t>
  </si>
  <si>
    <t>CT-7224</t>
  </si>
  <si>
    <t>Initial Review Stage - Changes - Decision Step - Solicited Workflow</t>
  </si>
  <si>
    <t>CT-7801</t>
  </si>
  <si>
    <t>Initial Review Stage - Changes - Decision Step - Unsolicited Workflow</t>
  </si>
  <si>
    <t>CT-7243</t>
  </si>
  <si>
    <t>Initial Review Stage - Create - Cancel Revision Decision - Solicited &amp; Unsolicited Workflow</t>
  </si>
  <si>
    <t>CT-7225</t>
  </si>
  <si>
    <t>Commissioning Editor Review - Create Stage - Solicited Workflows</t>
  </si>
  <si>
    <t>CT-7802</t>
  </si>
  <si>
    <t>Commissioning Editor Review - Create Stage - Unsolicited Workflows</t>
  </si>
  <si>
    <t>CT-7565</t>
  </si>
  <si>
    <t>EBM Review Stage - Create - Solicited Workflow</t>
  </si>
  <si>
    <t>CT-7803</t>
  </si>
  <si>
    <t>EBM Review Stage - Create - Unsolicited Workflow</t>
  </si>
  <si>
    <t>CT-7457</t>
  </si>
  <si>
    <t>EBM Review Stage - Create - EBM Review Individual Page - Solicited &amp; Unsolicited Workflow</t>
  </si>
  <si>
    <t>CT-7588</t>
  </si>
  <si>
    <t>Create the MVP SIP Form</t>
  </si>
  <si>
    <t>CT-7223</t>
  </si>
  <si>
    <t>SIP Overview - Create - Filters - Checklist Status - Solicited &amp; Unsolicited Workflows</t>
  </si>
  <si>
    <t>CT-7432</t>
  </si>
  <si>
    <t>SIP Overview - Filters - Update - SIP Stage - Solicited Workflow</t>
  </si>
  <si>
    <t>CT-7433</t>
  </si>
  <si>
    <t>SIP Overview - Filters - Update - SIP Stage - Unsolicited Workflow</t>
  </si>
  <si>
    <t>CT-7444</t>
  </si>
  <si>
    <t>SI Workflow - SI Detail Page - Stakeholders - Include Operations Lead</t>
  </si>
  <si>
    <t>CT-7445</t>
  </si>
  <si>
    <t>SI Workflow - SI Detail Page - Stakeholders - Include Screener</t>
  </si>
  <si>
    <t>CT-7766</t>
  </si>
  <si>
    <t>SI Workflow - SI Detail Page - Stakeholders - Update Handling CE</t>
  </si>
  <si>
    <t>CT-7996</t>
  </si>
  <si>
    <t>MVP SIP Form UI Tuning（Same case with CT-7588）</t>
  </si>
  <si>
    <t>CT-7990</t>
  </si>
  <si>
    <t>SI Proposal Menu - SIP Report - Flagged GE Verification Page</t>
  </si>
  <si>
    <t>CT-7993</t>
  </si>
  <si>
    <t>Improvement on SI Pipeline report to include newly added stages</t>
  </si>
  <si>
    <t>CT-7997</t>
  </si>
  <si>
    <t>Revision Email Templates Updates</t>
  </si>
  <si>
    <t>CT-8009</t>
  </si>
  <si>
    <t>Improvement USIP - Initial Review - Decision Panel when SIP Origin is CE Review （case added into CT-7802）</t>
  </si>
  <si>
    <t>CT-7994</t>
  </si>
  <si>
    <t>Improvement to Reassign Screener Functionality</t>
  </si>
  <si>
    <t>CT-8274</t>
  </si>
  <si>
    <t>SIP - Initial Review Stage - View Checklist Button</t>
  </si>
  <si>
    <t>160-200</t>
  </si>
  <si>
    <t>800-1000</t>
  </si>
  <si>
    <t>Regression for CT-7441 (SIP filter related)</t>
  </si>
  <si>
    <t>Regression for CT-7222(SIP checklist -- initial review)</t>
  </si>
  <si>
    <t>Regression for CT-7990(Flagged GE)</t>
  </si>
  <si>
    <t>Regression for USIP Workflow</t>
  </si>
  <si>
    <t>Total</t>
  </si>
  <si>
    <t>CT-7727</t>
  </si>
  <si>
    <t>[Refactor][FE] Refine axios_instance.js and integrate authorization</t>
  </si>
  <si>
    <t>Done</t>
  </si>
  <si>
    <t>CT-7728</t>
  </si>
  <si>
    <t>[Refactor][FE] Refine SIP Filter Feature related files</t>
  </si>
  <si>
    <t>Ready for QA</t>
  </si>
  <si>
    <t>Lily(SSIP) Winky(USIP)</t>
  </si>
  <si>
    <t>[Refactor][FE] Refine SIP Filter Feature related files (USIP)</t>
  </si>
  <si>
    <t>CT-7595</t>
  </si>
  <si>
    <t>Replace itextPDF with PDFBox</t>
  </si>
  <si>
    <t>CT-7600</t>
  </si>
  <si>
    <t>SI Overview list loading time performance tunning</t>
  </si>
  <si>
    <t>In Progress</t>
  </si>
  <si>
    <t>CT-7570</t>
  </si>
  <si>
    <t>Swagger Whitelabel Error Page</t>
  </si>
  <si>
    <t>CT-7705</t>
  </si>
  <si>
    <t>[DB restructure] merge t_email_template_user to t_email_template</t>
  </si>
  <si>
    <t>CT-7706</t>
  </si>
  <si>
    <t>[DB restructure] Discard t_si_abnormal_edit_history</t>
  </si>
  <si>
    <t>CT-7709</t>
  </si>
  <si>
    <t>[DB restructure] sip_code generate logic</t>
  </si>
  <si>
    <t>Need api automation cover it</t>
  </si>
  <si>
    <t>CT-7712</t>
  </si>
  <si>
    <t>[DB restructure] Merge t_email_failed to t_email_history</t>
  </si>
  <si>
    <t>CT-7716</t>
  </si>
  <si>
    <t>[DB restructure] Discard t_api_secret</t>
  </si>
  <si>
    <t>CT-7720</t>
  </si>
  <si>
    <t>[DB restructure] SIP overview page optimize.</t>
  </si>
  <si>
    <t>CT-7724</t>
  </si>
  <si>
    <t>[DB reorg] Merge t_si_previouse_handling_ce to t_si</t>
  </si>
  <si>
    <t>CT-7593</t>
  </si>
  <si>
    <t>Enlarge the pod memory</t>
  </si>
  <si>
    <t>DONE</t>
  </si>
  <si>
    <t>CT-7471</t>
  </si>
  <si>
    <t>Create DB User in uat2,uat,dev,dev2,qa,qa2 environment</t>
  </si>
  <si>
    <t>CT-7825</t>
  </si>
  <si>
    <t>[Refactor][FE] Refactor ideation stage of decision panel</t>
  </si>
  <si>
    <t>Ideation CE Review and EBM Review decision panel</t>
  </si>
  <si>
    <t xml:space="preserve"> </t>
  </si>
  <si>
    <t>CT-7903</t>
  </si>
  <si>
    <t>[Design] Design document for decision panel on FE</t>
  </si>
  <si>
    <t>CT-7596</t>
  </si>
  <si>
    <t>[Design]DB Restructure</t>
  </si>
  <si>
    <t>CT-7597</t>
  </si>
  <si>
    <t>[Design] Configurable workflow</t>
  </si>
  <si>
    <t>CT-7673</t>
  </si>
  <si>
    <t>Swagger api-docs</t>
  </si>
  <si>
    <t>READY FOR QA</t>
  </si>
  <si>
    <t>CT-7598</t>
  </si>
  <si>
    <t>[Design] SI and SIP Data migration to new workflow</t>
  </si>
  <si>
    <t>CT-7599</t>
  </si>
  <si>
    <t>[Design] SIMT reporting impact analysis and solution for being compatible with the new workflow</t>
  </si>
  <si>
    <t>CT-7870</t>
  </si>
  <si>
    <t>[Implementation][Configurable Workflow 1] flow dictionary definition of t_cw_stage_dict and t_cw_decision_dict</t>
  </si>
  <si>
    <t>SSIP, USIP and SI workflow</t>
  </si>
  <si>
    <t>CT-7871</t>
  </si>
  <si>
    <t>[Implementation][Configurable Workflow 2] Create a service flow_common, and create API to export the workflow dictionary.</t>
  </si>
  <si>
    <t>CT-7872</t>
  </si>
  <si>
    <t>[Implementation][Configurable Workflow 3] Integrate workflow dictionary in flow_common to SIMT, and refresh the history data</t>
  </si>
  <si>
    <t>CT-7333</t>
  </si>
  <si>
    <t>Upgrade JDK from 11 to 21</t>
  </si>
  <si>
    <t>ST for major feature</t>
  </si>
  <si>
    <t>CT-7729</t>
  </si>
  <si>
    <t>[DB restructure][Design] Discard t_sip_checklist_initial, t_sip_checklist_initial_ge,t_sip_checklist_submitted,t_sip_checklist_submitted_ge</t>
  </si>
  <si>
    <t>CT-7714</t>
  </si>
  <si>
    <t>[DB restructure][Design] t_sip_decision_field</t>
  </si>
  <si>
    <t>CT-7717</t>
  </si>
  <si>
    <t>[DB restructure][design] Create t_cloud_file</t>
  </si>
  <si>
    <t>CT-7719</t>
  </si>
  <si>
    <t>[DB restructure][design] Remove si_id in t_si</t>
  </si>
  <si>
    <t>CT-7721</t>
  </si>
  <si>
    <t>[DB restructure][Design] Add id,create_time,update_time,create_by,update_by in tables</t>
  </si>
  <si>
    <t>CT-7730</t>
  </si>
  <si>
    <t>[DB reorg][Implement] Remove si_id in t_si</t>
  </si>
  <si>
    <t>Lily （Others）
Winky （Marketing+ Publication）</t>
  </si>
  <si>
    <t>Regression(Winky-24)(Lily-8)</t>
  </si>
  <si>
    <t>CT-7826</t>
  </si>
  <si>
    <t>[Design] estimating compatibility of business requirements in Sprint3 with configurable workflow</t>
  </si>
  <si>
    <t>CT-7725</t>
  </si>
  <si>
    <t>[DB reorg] merge t_login_fail to t_user</t>
  </si>
  <si>
    <t>CT-7726</t>
  </si>
  <si>
    <t>[DB reorg] merge t_user_reset_password to active_email</t>
  </si>
  <si>
    <t>[DB reorg][implement] Discard t_inquiry_sip_assignee, t_sip_assign_to_editor, t_sip_journal_editor， t_sip_extend_ddl</t>
  </si>
  <si>
    <t>CT-7713</t>
  </si>
  <si>
    <t>[DB reorg][Implement] Discard t_sip_checklist_initial, t_sip_checklist_initial_ge,t_sip_checklist_submitted,t_sip_checklist_submitted_ge</t>
  </si>
  <si>
    <t>Refactor this feature in https://jira.wiley.com/browse/CT-7206</t>
  </si>
  <si>
    <t>[DB reorg][implement] t_sip_decision_field</t>
  </si>
  <si>
    <t>[DB reorg] [implement] t_cloud_file</t>
  </si>
  <si>
    <t>CT-7723</t>
  </si>
  <si>
    <t>[DB reorg][implement] sys_config</t>
  </si>
  <si>
    <t>CT-7804</t>
  </si>
  <si>
    <t>SIP External Link althriom need to use a safe way</t>
  </si>
  <si>
    <t>Execuld cases assign to Sameera</t>
  </si>
  <si>
    <t>11(Winky)</t>
  </si>
  <si>
    <t>17,58可减，reression再考虑下，USIP workflow， 每个功能有个ST,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</si>
</sst>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49">
    <font>
      <sz val="11"/>
      <color theme="1"/>
      <name val="等线"/>
      <family val="2"/>
      <scheme val="minor"/>
    </font>
    <font>
      <sz val="8"/>
      <name val="等线"/>
      <family val="2"/>
      <scheme val="minor"/>
    </font>
    <font>
      <u/>
      <sz val="11"/>
      <color theme="10"/>
      <name val="等线"/>
      <family val="2"/>
      <scheme val="minor"/>
    </font>
    <font>
      <sz val="11"/>
      <color rgb="FF172B4D"/>
      <name val="-Apple-System"/>
      <charset val="1"/>
    </font>
    <font>
      <sz val="11"/>
      <color rgb="FF000000"/>
      <name val="Arial"/>
      <family val="2"/>
    </font>
    <font>
      <sz val="11"/>
      <color rgb="FF000000"/>
      <name val="等线"/>
      <family val="2"/>
      <scheme val="minor"/>
    </font>
    <font>
      <strike/>
      <sz val="11"/>
      <color rgb="FF000000"/>
      <name val="等线"/>
      <family val="2"/>
      <scheme val="minor"/>
    </font>
    <font>
      <strike/>
      <sz val="11"/>
      <color theme="1"/>
      <name val="等线"/>
      <family val="2"/>
      <scheme val="minor"/>
    </font>
    <font>
      <sz val="11"/>
      <color rgb="FF172B4D"/>
      <name val="等线"/>
      <family val="2"/>
      <scheme val="minor"/>
    </font>
    <font>
      <sz val="7"/>
      <color rgb="FF172B4D"/>
      <name val="Segoe UI"/>
      <family val="2"/>
    </font>
    <font>
      <sz val="11"/>
      <color rgb="FF000000"/>
      <name val="Calibri"/>
      <family val="2"/>
    </font>
    <font>
      <sz val="11"/>
      <color theme="1"/>
      <name val="等线"/>
      <family val="2"/>
      <scheme val="minor"/>
    </font>
    <font>
      <sz val="18"/>
      <color theme="3"/>
      <name val="等线 Light"/>
      <family val="2"/>
      <scheme val="major"/>
    </font>
    <font>
      <b/>
      <sz val="15"/>
      <color theme="3"/>
      <name val="等线"/>
      <family val="2"/>
      <scheme val="minor"/>
    </font>
    <font>
      <b/>
      <sz val="13"/>
      <color theme="3"/>
      <name val="等线"/>
      <family val="2"/>
      <scheme val="minor"/>
    </font>
    <font>
      <b/>
      <sz val="11"/>
      <color theme="3"/>
      <name val="等线"/>
      <family val="2"/>
      <scheme val="minor"/>
    </font>
    <font>
      <sz val="11"/>
      <color rgb="FF006100"/>
      <name val="等线"/>
      <family val="2"/>
      <scheme val="minor"/>
    </font>
    <font>
      <sz val="11"/>
      <color rgb="FF9C0006"/>
      <name val="等线"/>
      <family val="2"/>
      <scheme val="minor"/>
    </font>
    <font>
      <sz val="11"/>
      <color rgb="FF9C5700"/>
      <name val="等线"/>
      <family val="2"/>
      <scheme val="minor"/>
    </font>
    <font>
      <sz val="11"/>
      <color rgb="FF3F3F76"/>
      <name val="等线"/>
      <family val="2"/>
      <scheme val="minor"/>
    </font>
    <font>
      <b/>
      <sz val="11"/>
      <color rgb="FF3F3F3F"/>
      <name val="等线"/>
      <family val="2"/>
      <scheme val="minor"/>
    </font>
    <font>
      <b/>
      <sz val="11"/>
      <color rgb="FFFA7D00"/>
      <name val="等线"/>
      <family val="2"/>
      <scheme val="minor"/>
    </font>
    <font>
      <sz val="11"/>
      <color rgb="FFFA7D00"/>
      <name val="等线"/>
      <family val="2"/>
      <scheme val="minor"/>
    </font>
    <font>
      <b/>
      <sz val="11"/>
      <color theme="0"/>
      <name val="等线"/>
      <family val="2"/>
      <scheme val="minor"/>
    </font>
    <font>
      <sz val="11"/>
      <color rgb="FFFF0000"/>
      <name val="等线"/>
      <family val="2"/>
      <scheme val="minor"/>
    </font>
    <font>
      <i/>
      <sz val="11"/>
      <color rgb="FF7F7F7F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1"/>
      <color theme="0"/>
      <name val="等线"/>
      <family val="2"/>
      <scheme val="minor"/>
    </font>
    <font>
      <strike/>
      <sz val="11"/>
      <color rgb="FF172B4D"/>
      <name val="等线"/>
      <family val="2"/>
      <scheme val="minor"/>
    </font>
    <font>
      <strike/>
      <u/>
      <sz val="11"/>
      <color theme="10"/>
      <name val="等线"/>
      <family val="2"/>
      <scheme val="minor"/>
    </font>
    <font>
      <sz val="11"/>
      <color rgb="FF000000"/>
      <name val="Aptos Narrow"/>
      <family val="2"/>
    </font>
    <font>
      <strike/>
      <sz val="11"/>
      <color rgb="FF000000"/>
      <name val="Aptos Narrow"/>
      <family val="2"/>
    </font>
    <font>
      <sz val="12"/>
      <color rgb="FF172B4D"/>
      <name val="Segoe UI"/>
    </font>
    <font>
      <sz val="11"/>
      <color rgb="FF000000"/>
      <name val="Aptos Narrow"/>
    </font>
    <font>
      <strike/>
      <sz val="11"/>
      <color rgb="FF000000"/>
      <name val="Aptos Narrow"/>
    </font>
    <font>
      <sz val="11"/>
      <color rgb="FFFF0000"/>
      <name val="Aptos Narrow"/>
      <family val="2"/>
    </font>
    <font>
      <u/>
      <sz val="11"/>
      <color rgb="FFFF0000"/>
      <name val="等线"/>
      <family val="2"/>
      <scheme val="minor"/>
    </font>
    <font>
      <sz val="14"/>
      <color theme="1"/>
      <name val="等线"/>
      <charset val="134"/>
      <scheme val="minor"/>
    </font>
    <font>
      <sz val="14"/>
      <color rgb="FF000000"/>
      <name val="等线"/>
      <charset val="134"/>
      <scheme val="minor"/>
    </font>
    <font>
      <u/>
      <sz val="14"/>
      <color theme="10"/>
      <name val="等线"/>
      <charset val="134"/>
      <scheme val="minor"/>
    </font>
    <font>
      <b/>
      <sz val="14"/>
      <color rgb="FF000000"/>
      <name val="等线"/>
      <charset val="134"/>
      <scheme val="minor"/>
    </font>
    <font>
      <sz val="14"/>
      <color rgb="FFFF0000"/>
      <name val="等线"/>
      <charset val="134"/>
      <scheme val="minor"/>
    </font>
    <font>
      <sz val="14"/>
      <color theme="1"/>
      <name val="等线"/>
      <family val="2"/>
      <charset val="134"/>
      <scheme val="minor"/>
    </font>
    <font>
      <sz val="14"/>
      <color rgb="FF000000"/>
      <name val="Aptos Narrow"/>
      <family val="2"/>
    </font>
    <font>
      <sz val="11"/>
      <color theme="1"/>
      <name val="等线"/>
      <charset val="134"/>
      <scheme val="minor"/>
    </font>
    <font>
      <u/>
      <sz val="14"/>
      <color theme="10"/>
      <name val="等线"/>
      <family val="2"/>
      <scheme val="minor"/>
    </font>
    <font>
      <sz val="14"/>
      <color rgb="FF000000"/>
      <name val="等线"/>
      <family val="2"/>
      <scheme val="minor"/>
    </font>
    <font>
      <sz val="14"/>
      <color theme="1"/>
      <name val="等线"/>
      <family val="2"/>
      <scheme val="minor"/>
    </font>
    <font>
      <sz val="11"/>
      <color rgb="FF000000"/>
      <name val="Aptos Narrow"/>
      <charset val="134"/>
    </font>
  </fonts>
  <fills count="4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8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rgb="FF000000"/>
      </left>
      <right style="thin">
        <color indexed="64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rgb="FF000000"/>
      </left>
      <right style="thin">
        <color indexed="64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42" applyNumberFormat="0" applyFill="0" applyAlignment="0" applyProtection="0"/>
    <xf numFmtId="0" fontId="14" fillId="0" borderId="43" applyNumberFormat="0" applyFill="0" applyAlignment="0" applyProtection="0"/>
    <xf numFmtId="0" fontId="15" fillId="0" borderId="44" applyNumberFormat="0" applyFill="0" applyAlignment="0" applyProtection="0"/>
    <xf numFmtId="0" fontId="15" fillId="0" borderId="0" applyNumberFormat="0" applyFill="0" applyBorder="0" applyAlignment="0" applyProtection="0"/>
    <xf numFmtId="0" fontId="16" fillId="11" borderId="0" applyNumberFormat="0" applyBorder="0" applyAlignment="0" applyProtection="0"/>
    <xf numFmtId="0" fontId="17" fillId="12" borderId="0" applyNumberFormat="0" applyBorder="0" applyAlignment="0" applyProtection="0"/>
    <xf numFmtId="0" fontId="18" fillId="13" borderId="0" applyNumberFormat="0" applyBorder="0" applyAlignment="0" applyProtection="0"/>
    <xf numFmtId="0" fontId="19" fillId="14" borderId="45" applyNumberFormat="0" applyAlignment="0" applyProtection="0"/>
    <xf numFmtId="0" fontId="20" fillId="15" borderId="46" applyNumberFormat="0" applyAlignment="0" applyProtection="0"/>
    <xf numFmtId="0" fontId="21" fillId="15" borderId="45" applyNumberFormat="0" applyAlignment="0" applyProtection="0"/>
    <xf numFmtId="0" fontId="22" fillId="0" borderId="47" applyNumberFormat="0" applyFill="0" applyAlignment="0" applyProtection="0"/>
    <xf numFmtId="0" fontId="23" fillId="16" borderId="48" applyNumberFormat="0" applyAlignment="0" applyProtection="0"/>
    <xf numFmtId="0" fontId="24" fillId="0" borderId="0" applyNumberFormat="0" applyFill="0" applyBorder="0" applyAlignment="0" applyProtection="0"/>
    <xf numFmtId="0" fontId="11" fillId="17" borderId="49" applyNumberFormat="0" applyFont="0" applyAlignment="0" applyProtection="0"/>
    <xf numFmtId="0" fontId="25" fillId="0" borderId="0" applyNumberFormat="0" applyFill="0" applyBorder="0" applyAlignment="0" applyProtection="0"/>
    <xf numFmtId="0" fontId="26" fillId="0" borderId="50" applyNumberFormat="0" applyFill="0" applyAlignment="0" applyProtection="0"/>
    <xf numFmtId="0" fontId="27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27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27" fillId="26" borderId="0" applyNumberFormat="0" applyBorder="0" applyAlignment="0" applyProtection="0"/>
    <xf numFmtId="0" fontId="11" fillId="27" borderId="0" applyNumberFormat="0" applyBorder="0" applyAlignment="0" applyProtection="0"/>
    <xf numFmtId="0" fontId="11" fillId="28" borderId="0" applyNumberFormat="0" applyBorder="0" applyAlignment="0" applyProtection="0"/>
    <xf numFmtId="0" fontId="11" fillId="29" borderId="0" applyNumberFormat="0" applyBorder="0" applyAlignment="0" applyProtection="0"/>
    <xf numFmtId="0" fontId="27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11" fillId="33" borderId="0" applyNumberFormat="0" applyBorder="0" applyAlignment="0" applyProtection="0"/>
    <xf numFmtId="0" fontId="27" fillId="34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7" borderId="0" applyNumberFormat="0" applyBorder="0" applyAlignment="0" applyProtection="0"/>
    <xf numFmtId="0" fontId="27" fillId="38" borderId="0" applyNumberFormat="0" applyBorder="0" applyAlignment="0" applyProtection="0"/>
    <xf numFmtId="0" fontId="11" fillId="39" borderId="0" applyNumberFormat="0" applyBorder="0" applyAlignment="0" applyProtection="0"/>
    <xf numFmtId="0" fontId="11" fillId="40" borderId="0" applyNumberFormat="0" applyBorder="0" applyAlignment="0" applyProtection="0"/>
    <xf numFmtId="0" fontId="11" fillId="41" borderId="0" applyNumberFormat="0" applyBorder="0" applyAlignment="0" applyProtection="0"/>
  </cellStyleXfs>
  <cellXfs count="431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2" borderId="2" xfId="0" applyFill="1" applyBorder="1" applyAlignment="1">
      <alignment wrapText="1"/>
    </xf>
    <xf numFmtId="0" fontId="0" fillId="2" borderId="0" xfId="0" applyFill="1" applyAlignment="1">
      <alignment wrapText="1"/>
    </xf>
    <xf numFmtId="0" fontId="0" fillId="2" borderId="6" xfId="0" applyFill="1" applyBorder="1" applyAlignment="1">
      <alignment wrapText="1"/>
    </xf>
    <xf numFmtId="0" fontId="0" fillId="0" borderId="3" xfId="0" applyBorder="1"/>
    <xf numFmtId="0" fontId="0" fillId="0" borderId="9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5" xfId="0" applyBorder="1" applyAlignment="1">
      <alignment wrapText="1"/>
    </xf>
    <xf numFmtId="0" fontId="0" fillId="2" borderId="3" xfId="0" applyFill="1" applyBorder="1" applyAlignment="1">
      <alignment wrapText="1"/>
    </xf>
    <xf numFmtId="0" fontId="0" fillId="2" borderId="15" xfId="0" applyFill="1" applyBorder="1" applyAlignment="1">
      <alignment wrapText="1"/>
    </xf>
    <xf numFmtId="0" fontId="0" fillId="0" borderId="17" xfId="0" applyBorder="1" applyAlignment="1">
      <alignment wrapText="1"/>
    </xf>
    <xf numFmtId="0" fontId="0" fillId="0" borderId="18" xfId="0" applyBorder="1" applyAlignment="1">
      <alignment horizontal="center" wrapText="1"/>
    </xf>
    <xf numFmtId="0" fontId="0" fillId="0" borderId="3" xfId="0" applyBorder="1" applyAlignment="1">
      <alignment wrapText="1"/>
    </xf>
    <xf numFmtId="0" fontId="0" fillId="0" borderId="19" xfId="0" applyBorder="1" applyAlignment="1">
      <alignment wrapText="1"/>
    </xf>
    <xf numFmtId="0" fontId="0" fillId="0" borderId="20" xfId="0" applyBorder="1" applyAlignment="1">
      <alignment wrapText="1"/>
    </xf>
    <xf numFmtId="0" fontId="0" fillId="0" borderId="6" xfId="0" applyBorder="1" applyAlignment="1">
      <alignment wrapText="1"/>
    </xf>
    <xf numFmtId="0" fontId="2" fillId="3" borderId="1" xfId="1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4" borderId="6" xfId="0" applyFill="1" applyBorder="1" applyAlignment="1">
      <alignment wrapText="1"/>
    </xf>
    <xf numFmtId="0" fontId="3" fillId="0" borderId="17" xfId="0" applyFont="1" applyBorder="1"/>
    <xf numFmtId="0" fontId="0" fillId="5" borderId="21" xfId="0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2" fillId="0" borderId="1" xfId="1" applyFill="1" applyBorder="1" applyAlignment="1">
      <alignment wrapText="1"/>
    </xf>
    <xf numFmtId="0" fontId="0" fillId="4" borderId="1" xfId="0" applyFill="1" applyBorder="1"/>
    <xf numFmtId="0" fontId="0" fillId="0" borderId="0" xfId="0" applyAlignment="1">
      <alignment wrapText="1"/>
    </xf>
    <xf numFmtId="0" fontId="0" fillId="7" borderId="0" xfId="0" applyFill="1"/>
    <xf numFmtId="0" fontId="0" fillId="4" borderId="0" xfId="0" applyFill="1" applyAlignment="1">
      <alignment wrapText="1"/>
    </xf>
    <xf numFmtId="0" fontId="0" fillId="4" borderId="0" xfId="0" applyFill="1"/>
    <xf numFmtId="0" fontId="0" fillId="6" borderId="0" xfId="0" applyFill="1" applyAlignment="1">
      <alignment wrapText="1"/>
    </xf>
    <xf numFmtId="0" fontId="0" fillId="6" borderId="0" xfId="0" applyFill="1"/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wrapText="1"/>
    </xf>
    <xf numFmtId="0" fontId="2" fillId="0" borderId="24" xfId="1" applyFill="1" applyBorder="1" applyAlignment="1">
      <alignment wrapText="1"/>
    </xf>
    <xf numFmtId="0" fontId="0" fillId="0" borderId="17" xfId="0" applyBorder="1"/>
    <xf numFmtId="0" fontId="5" fillId="0" borderId="17" xfId="0" applyFont="1" applyBorder="1"/>
    <xf numFmtId="0" fontId="5" fillId="0" borderId="0" xfId="0" applyFont="1"/>
    <xf numFmtId="0" fontId="5" fillId="4" borderId="0" xfId="0" applyFont="1" applyFill="1"/>
    <xf numFmtId="0" fontId="5" fillId="0" borderId="24" xfId="0" applyFont="1" applyBorder="1" applyAlignment="1">
      <alignment wrapText="1"/>
    </xf>
    <xf numFmtId="0" fontId="5" fillId="0" borderId="17" xfId="0" applyFont="1" applyBorder="1" applyAlignment="1">
      <alignment wrapText="1"/>
    </xf>
    <xf numFmtId="0" fontId="0" fillId="0" borderId="26" xfId="0" applyBorder="1"/>
    <xf numFmtId="0" fontId="0" fillId="0" borderId="20" xfId="0" applyBorder="1"/>
    <xf numFmtId="0" fontId="5" fillId="0" borderId="23" xfId="0" applyFont="1" applyBorder="1" applyAlignment="1">
      <alignment wrapText="1"/>
    </xf>
    <xf numFmtId="0" fontId="0" fillId="0" borderId="7" xfId="0" applyBorder="1"/>
    <xf numFmtId="0" fontId="5" fillId="0" borderId="22" xfId="0" applyFont="1" applyBorder="1"/>
    <xf numFmtId="0" fontId="0" fillId="0" borderId="27" xfId="0" applyBorder="1"/>
    <xf numFmtId="0" fontId="0" fillId="8" borderId="1" xfId="0" applyFill="1" applyBorder="1" applyAlignment="1">
      <alignment wrapText="1"/>
    </xf>
    <xf numFmtId="0" fontId="0" fillId="0" borderId="5" xfId="0" applyBorder="1"/>
    <xf numFmtId="0" fontId="5" fillId="0" borderId="22" xfId="0" applyFont="1" applyBorder="1" applyAlignment="1">
      <alignment wrapText="1"/>
    </xf>
    <xf numFmtId="0" fontId="5" fillId="0" borderId="25" xfId="0" applyFont="1" applyBorder="1" applyAlignment="1">
      <alignment wrapText="1"/>
    </xf>
    <xf numFmtId="0" fontId="5" fillId="0" borderId="23" xfId="0" applyFont="1" applyBorder="1"/>
    <xf numFmtId="0" fontId="0" fillId="2" borderId="1" xfId="0" applyFill="1" applyBorder="1" applyAlignment="1">
      <alignment wrapText="1"/>
    </xf>
    <xf numFmtId="0" fontId="5" fillId="4" borderId="24" xfId="0" applyFont="1" applyFill="1" applyBorder="1" applyAlignment="1">
      <alignment wrapText="1"/>
    </xf>
    <xf numFmtId="0" fontId="2" fillId="4" borderId="24" xfId="1" applyFill="1" applyBorder="1" applyAlignment="1">
      <alignment wrapText="1"/>
    </xf>
    <xf numFmtId="0" fontId="5" fillId="4" borderId="23" xfId="0" applyFont="1" applyFill="1" applyBorder="1" applyAlignment="1">
      <alignment wrapText="1"/>
    </xf>
    <xf numFmtId="0" fontId="5" fillId="0" borderId="31" xfId="0" applyFont="1" applyBorder="1"/>
    <xf numFmtId="0" fontId="0" fillId="9" borderId="17" xfId="0" applyFill="1" applyBorder="1" applyAlignment="1">
      <alignment wrapText="1"/>
    </xf>
    <xf numFmtId="0" fontId="0" fillId="9" borderId="1" xfId="0" applyFill="1" applyBorder="1" applyAlignment="1">
      <alignment wrapText="1"/>
    </xf>
    <xf numFmtId="0" fontId="0" fillId="9" borderId="3" xfId="0" applyFill="1" applyBorder="1" applyAlignment="1">
      <alignment wrapText="1"/>
    </xf>
    <xf numFmtId="0" fontId="0" fillId="9" borderId="5" xfId="0" applyFill="1" applyBorder="1" applyAlignment="1">
      <alignment wrapText="1"/>
    </xf>
    <xf numFmtId="0" fontId="4" fillId="0" borderId="32" xfId="0" applyFont="1" applyBorder="1" applyAlignment="1">
      <alignment wrapText="1"/>
    </xf>
    <xf numFmtId="0" fontId="2" fillId="0" borderId="32" xfId="1" applyFill="1" applyBorder="1" applyAlignment="1">
      <alignment wrapText="1"/>
    </xf>
    <xf numFmtId="0" fontId="4" fillId="0" borderId="30" xfId="0" applyFont="1" applyBorder="1" applyAlignment="1">
      <alignment wrapText="1"/>
    </xf>
    <xf numFmtId="0" fontId="0" fillId="0" borderId="6" xfId="0" applyBorder="1"/>
    <xf numFmtId="0" fontId="5" fillId="9" borderId="24" xfId="0" applyFont="1" applyFill="1" applyBorder="1" applyAlignment="1">
      <alignment wrapText="1"/>
    </xf>
    <xf numFmtId="0" fontId="5" fillId="9" borderId="33" xfId="0" applyFont="1" applyFill="1" applyBorder="1" applyAlignment="1">
      <alignment wrapText="1"/>
    </xf>
    <xf numFmtId="0" fontId="5" fillId="9" borderId="17" xfId="0" applyFont="1" applyFill="1" applyBorder="1" applyAlignment="1">
      <alignment wrapText="1"/>
    </xf>
    <xf numFmtId="0" fontId="5" fillId="9" borderId="7" xfId="0" applyFont="1" applyFill="1" applyBorder="1" applyAlignment="1">
      <alignment wrapText="1"/>
    </xf>
    <xf numFmtId="0" fontId="5" fillId="0" borderId="6" xfId="0" applyFont="1" applyBorder="1" applyAlignment="1">
      <alignment wrapText="1"/>
    </xf>
    <xf numFmtId="0" fontId="5" fillId="0" borderId="31" xfId="0" applyFont="1" applyBorder="1" applyAlignment="1">
      <alignment wrapText="1"/>
    </xf>
    <xf numFmtId="0" fontId="5" fillId="9" borderId="8" xfId="0" applyFont="1" applyFill="1" applyBorder="1" applyAlignment="1">
      <alignment wrapText="1"/>
    </xf>
    <xf numFmtId="0" fontId="0" fillId="0" borderId="15" xfId="0" applyBorder="1"/>
    <xf numFmtId="0" fontId="5" fillId="0" borderId="24" xfId="0" applyFont="1" applyBorder="1"/>
    <xf numFmtId="0" fontId="5" fillId="5" borderId="24" xfId="0" applyFont="1" applyFill="1" applyBorder="1" applyAlignment="1">
      <alignment wrapText="1"/>
    </xf>
    <xf numFmtId="0" fontId="0" fillId="5" borderId="17" xfId="0" applyFill="1" applyBorder="1" applyAlignment="1">
      <alignment wrapText="1"/>
    </xf>
    <xf numFmtId="0" fontId="5" fillId="5" borderId="22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6" fillId="0" borderId="22" xfId="0" applyFont="1" applyBorder="1"/>
    <xf numFmtId="0" fontId="7" fillId="0" borderId="1" xfId="0" applyFont="1" applyBorder="1" applyAlignment="1">
      <alignment wrapText="1"/>
    </xf>
    <xf numFmtId="0" fontId="7" fillId="0" borderId="1" xfId="0" applyFont="1" applyBorder="1"/>
    <xf numFmtId="0" fontId="0" fillId="0" borderId="21" xfId="0" applyBorder="1" applyAlignment="1">
      <alignment wrapText="1"/>
    </xf>
    <xf numFmtId="0" fontId="0" fillId="9" borderId="25" xfId="0" applyFill="1" applyBorder="1" applyAlignment="1">
      <alignment wrapText="1"/>
    </xf>
    <xf numFmtId="0" fontId="5" fillId="0" borderId="1" xfId="0" applyFont="1" applyBorder="1" applyAlignment="1">
      <alignment wrapText="1"/>
    </xf>
    <xf numFmtId="0" fontId="0" fillId="9" borderId="33" xfId="0" applyFill="1" applyBorder="1" applyAlignment="1">
      <alignment wrapText="1"/>
    </xf>
    <xf numFmtId="0" fontId="0" fillId="9" borderId="6" xfId="0" applyFill="1" applyBorder="1" applyAlignment="1">
      <alignment wrapText="1"/>
    </xf>
    <xf numFmtId="0" fontId="5" fillId="9" borderId="6" xfId="0" applyFont="1" applyFill="1" applyBorder="1" applyAlignment="1">
      <alignment wrapText="1"/>
    </xf>
    <xf numFmtId="0" fontId="0" fillId="0" borderId="8" xfId="0" applyBorder="1"/>
    <xf numFmtId="0" fontId="2" fillId="0" borderId="34" xfId="1" applyBorder="1" applyAlignment="1">
      <alignment wrapText="1"/>
    </xf>
    <xf numFmtId="0" fontId="2" fillId="0" borderId="24" xfId="1" applyBorder="1" applyAlignment="1">
      <alignment wrapText="1"/>
    </xf>
    <xf numFmtId="0" fontId="5" fillId="8" borderId="6" xfId="0" applyFont="1" applyFill="1" applyBorder="1" applyAlignment="1">
      <alignment wrapText="1"/>
    </xf>
    <xf numFmtId="0" fontId="5" fillId="10" borderId="8" xfId="0" applyFont="1" applyFill="1" applyBorder="1" applyAlignment="1">
      <alignment wrapText="1"/>
    </xf>
    <xf numFmtId="0" fontId="5" fillId="10" borderId="6" xfId="0" applyFont="1" applyFill="1" applyBorder="1" applyAlignment="1">
      <alignment wrapText="1"/>
    </xf>
    <xf numFmtId="0" fontId="0" fillId="10" borderId="1" xfId="0" applyFill="1" applyBorder="1" applyAlignment="1">
      <alignment wrapText="1"/>
    </xf>
    <xf numFmtId="0" fontId="0" fillId="6" borderId="5" xfId="0" applyFill="1" applyBorder="1" applyAlignment="1">
      <alignment wrapText="1"/>
    </xf>
    <xf numFmtId="0" fontId="5" fillId="6" borderId="1" xfId="0" applyFont="1" applyFill="1" applyBorder="1" applyAlignment="1">
      <alignment wrapText="1"/>
    </xf>
    <xf numFmtId="0" fontId="0" fillId="6" borderId="17" xfId="0" applyFill="1" applyBorder="1" applyAlignment="1">
      <alignment wrapText="1"/>
    </xf>
    <xf numFmtId="0" fontId="0" fillId="8" borderId="17" xfId="0" applyFill="1" applyBorder="1" applyAlignment="1">
      <alignment wrapText="1"/>
    </xf>
    <xf numFmtId="0" fontId="0" fillId="8" borderId="3" xfId="0" applyFill="1" applyBorder="1" applyAlignment="1">
      <alignment wrapText="1"/>
    </xf>
    <xf numFmtId="0" fontId="5" fillId="8" borderId="1" xfId="0" applyFont="1" applyFill="1" applyBorder="1" applyAlignment="1">
      <alignment wrapText="1"/>
    </xf>
    <xf numFmtId="0" fontId="0" fillId="0" borderId="4" xfId="0" applyBorder="1"/>
    <xf numFmtId="0" fontId="0" fillId="4" borderId="6" xfId="0" applyFill="1" applyBorder="1"/>
    <xf numFmtId="0" fontId="0" fillId="4" borderId="8" xfId="0" applyFill="1" applyBorder="1"/>
    <xf numFmtId="0" fontId="0" fillId="0" borderId="37" xfId="0" applyBorder="1" applyAlignment="1">
      <alignment wrapText="1"/>
    </xf>
    <xf numFmtId="0" fontId="6" fillId="0" borderId="24" xfId="0" applyFont="1" applyBorder="1"/>
    <xf numFmtId="0" fontId="7" fillId="0" borderId="5" xfId="0" applyFont="1" applyBorder="1" applyAlignment="1">
      <alignment wrapText="1"/>
    </xf>
    <xf numFmtId="0" fontId="7" fillId="0" borderId="5" xfId="0" applyFont="1" applyBorder="1"/>
    <xf numFmtId="0" fontId="5" fillId="0" borderId="1" xfId="0" applyFont="1" applyBorder="1"/>
    <xf numFmtId="0" fontId="4" fillId="0" borderId="1" xfId="0" applyFont="1" applyBorder="1" applyAlignment="1">
      <alignment wrapText="1"/>
    </xf>
    <xf numFmtId="0" fontId="8" fillId="9" borderId="1" xfId="0" applyFont="1" applyFill="1" applyBorder="1" applyAlignment="1">
      <alignment wrapText="1"/>
    </xf>
    <xf numFmtId="0" fontId="8" fillId="6" borderId="1" xfId="0" applyFont="1" applyFill="1" applyBorder="1" applyAlignment="1">
      <alignment wrapText="1"/>
    </xf>
    <xf numFmtId="0" fontId="8" fillId="8" borderId="1" xfId="0" applyFont="1" applyFill="1" applyBorder="1" applyAlignment="1">
      <alignment wrapText="1"/>
    </xf>
    <xf numFmtId="0" fontId="8" fillId="4" borderId="1" xfId="0" applyFont="1" applyFill="1" applyBorder="1" applyAlignment="1">
      <alignment wrapText="1"/>
    </xf>
    <xf numFmtId="0" fontId="8" fillId="0" borderId="1" xfId="0" applyFont="1" applyBorder="1" applyAlignment="1">
      <alignment wrapText="1"/>
    </xf>
    <xf numFmtId="0" fontId="2" fillId="0" borderId="1" xfId="1" applyBorder="1" applyAlignment="1">
      <alignment wrapText="1"/>
    </xf>
    <xf numFmtId="0" fontId="0" fillId="0" borderId="39" xfId="0" applyBorder="1" applyAlignment="1">
      <alignment vertical="center" wrapText="1"/>
    </xf>
    <xf numFmtId="0" fontId="0" fillId="0" borderId="40" xfId="0" applyBorder="1" applyAlignment="1">
      <alignment vertical="center" wrapText="1"/>
    </xf>
    <xf numFmtId="0" fontId="2" fillId="0" borderId="17" xfId="1" applyFill="1" applyBorder="1" applyAlignment="1"/>
    <xf numFmtId="0" fontId="5" fillId="0" borderId="3" xfId="0" applyFont="1" applyBorder="1" applyAlignment="1">
      <alignment wrapText="1"/>
    </xf>
    <xf numFmtId="0" fontId="2" fillId="0" borderId="3" xfId="1" applyFill="1" applyBorder="1" applyAlignment="1">
      <alignment wrapText="1"/>
    </xf>
    <xf numFmtId="0" fontId="8" fillId="0" borderId="3" xfId="0" applyFont="1" applyBorder="1" applyAlignment="1">
      <alignment wrapText="1"/>
    </xf>
    <xf numFmtId="0" fontId="10" fillId="0" borderId="17" xfId="0" applyFont="1" applyBorder="1"/>
    <xf numFmtId="0" fontId="9" fillId="0" borderId="17" xfId="0" applyFont="1" applyBorder="1"/>
    <xf numFmtId="0" fontId="8" fillId="0" borderId="7" xfId="0" applyFont="1" applyBorder="1" applyAlignment="1">
      <alignment wrapText="1"/>
    </xf>
    <xf numFmtId="0" fontId="8" fillId="4" borderId="7" xfId="0" applyFont="1" applyFill="1" applyBorder="1" applyAlignment="1">
      <alignment wrapText="1"/>
    </xf>
    <xf numFmtId="49" fontId="2" fillId="0" borderId="17" xfId="1" applyNumberFormat="1" applyBorder="1" applyAlignment="1">
      <alignment horizontal="left" vertical="top" wrapText="1"/>
    </xf>
    <xf numFmtId="0" fontId="0" fillId="0" borderId="51" xfId="0" applyBorder="1"/>
    <xf numFmtId="0" fontId="0" fillId="0" borderId="21" xfId="0" applyBorder="1"/>
    <xf numFmtId="0" fontId="0" fillId="42" borderId="1" xfId="0" applyFill="1" applyBorder="1"/>
    <xf numFmtId="0" fontId="0" fillId="42" borderId="0" xfId="0" applyFill="1"/>
    <xf numFmtId="0" fontId="8" fillId="42" borderId="7" xfId="0" applyFont="1" applyFill="1" applyBorder="1" applyAlignment="1">
      <alignment wrapText="1"/>
    </xf>
    <xf numFmtId="0" fontId="0" fillId="42" borderId="21" xfId="0" applyFill="1" applyBorder="1"/>
    <xf numFmtId="0" fontId="5" fillId="42" borderId="1" xfId="0" applyFont="1" applyFill="1" applyBorder="1" applyAlignment="1">
      <alignment wrapText="1"/>
    </xf>
    <xf numFmtId="0" fontId="5" fillId="43" borderId="1" xfId="0" applyFont="1" applyFill="1" applyBorder="1" applyAlignment="1">
      <alignment wrapText="1"/>
    </xf>
    <xf numFmtId="0" fontId="0" fillId="43" borderId="21" xfId="0" applyFill="1" applyBorder="1"/>
    <xf numFmtId="0" fontId="5" fillId="9" borderId="1" xfId="0" applyFont="1" applyFill="1" applyBorder="1" applyAlignment="1">
      <alignment wrapText="1"/>
    </xf>
    <xf numFmtId="0" fontId="0" fillId="9" borderId="21" xfId="0" applyFill="1" applyBorder="1"/>
    <xf numFmtId="0" fontId="28" fillId="0" borderId="7" xfId="0" applyFont="1" applyBorder="1" applyAlignment="1">
      <alignment wrapText="1"/>
    </xf>
    <xf numFmtId="49" fontId="29" fillId="0" borderId="17" xfId="1" applyNumberFormat="1" applyFont="1" applyBorder="1" applyAlignment="1">
      <alignment horizontal="left" vertical="top" wrapText="1"/>
    </xf>
    <xf numFmtId="0" fontId="7" fillId="0" borderId="0" xfId="0" applyFont="1"/>
    <xf numFmtId="0" fontId="8" fillId="0" borderId="0" xfId="0" applyFont="1" applyAlignment="1">
      <alignment wrapText="1"/>
    </xf>
    <xf numFmtId="49" fontId="2" fillId="0" borderId="0" xfId="1" applyNumberFormat="1" applyBorder="1" applyAlignment="1">
      <alignment horizontal="left" vertical="top" wrapText="1"/>
    </xf>
    <xf numFmtId="0" fontId="6" fillId="0" borderId="1" xfId="0" applyFont="1" applyBorder="1" applyAlignment="1">
      <alignment wrapText="1"/>
    </xf>
    <xf numFmtId="0" fontId="7" fillId="0" borderId="0" xfId="0" applyFont="1" applyAlignment="1">
      <alignment horizontal="center"/>
    </xf>
    <xf numFmtId="0" fontId="2" fillId="0" borderId="1" xfId="1" applyFill="1" applyBorder="1" applyAlignment="1"/>
    <xf numFmtId="0" fontId="30" fillId="0" borderId="1" xfId="0" applyFont="1" applyBorder="1"/>
    <xf numFmtId="49" fontId="2" fillId="0" borderId="1" xfId="1" applyNumberFormat="1" applyBorder="1" applyAlignment="1">
      <alignment horizontal="left" vertical="top" wrapText="1"/>
    </xf>
    <xf numFmtId="0" fontId="30" fillId="4" borderId="1" xfId="0" applyFont="1" applyFill="1" applyBorder="1"/>
    <xf numFmtId="49" fontId="2" fillId="0" borderId="3" xfId="1" applyNumberFormat="1" applyBorder="1" applyAlignment="1">
      <alignment horizontal="left" vertical="top" wrapText="1"/>
    </xf>
    <xf numFmtId="0" fontId="0" fillId="0" borderId="4" xfId="0" applyBorder="1" applyAlignment="1">
      <alignment horizontal="center" vertical="center"/>
    </xf>
    <xf numFmtId="0" fontId="30" fillId="9" borderId="1" xfId="0" applyFont="1" applyFill="1" applyBorder="1"/>
    <xf numFmtId="0" fontId="31" fillId="0" borderId="1" xfId="0" applyFont="1" applyBorder="1"/>
    <xf numFmtId="49" fontId="29" fillId="0" borderId="1" xfId="1" applyNumberFormat="1" applyFont="1" applyBorder="1" applyAlignment="1">
      <alignment horizontal="left" vertical="top" wrapText="1"/>
    </xf>
    <xf numFmtId="0" fontId="30" fillId="44" borderId="1" xfId="0" applyFont="1" applyFill="1" applyBorder="1"/>
    <xf numFmtId="0" fontId="2" fillId="0" borderId="0" xfId="1" applyAlignment="1">
      <alignment horizontal="left" vertical="center" indent="1"/>
    </xf>
    <xf numFmtId="0" fontId="32" fillId="0" borderId="0" xfId="0" applyFont="1" applyAlignment="1">
      <alignment vertical="top"/>
    </xf>
    <xf numFmtId="0" fontId="30" fillId="0" borderId="4" xfId="0" applyFont="1" applyBorder="1"/>
    <xf numFmtId="0" fontId="33" fillId="0" borderId="1" xfId="0" applyFont="1" applyBorder="1"/>
    <xf numFmtId="49" fontId="2" fillId="8" borderId="1" xfId="1" applyNumberFormat="1" applyFill="1" applyBorder="1" applyAlignment="1">
      <alignment horizontal="left" vertical="top" wrapText="1"/>
    </xf>
    <xf numFmtId="0" fontId="30" fillId="0" borderId="20" xfId="0" applyFont="1" applyBorder="1"/>
    <xf numFmtId="49" fontId="2" fillId="9" borderId="1" xfId="1" applyNumberFormat="1" applyFill="1" applyBorder="1" applyAlignment="1">
      <alignment horizontal="left" vertical="top" wrapText="1"/>
    </xf>
    <xf numFmtId="0" fontId="33" fillId="0" borderId="20" xfId="0" applyFont="1" applyBorder="1"/>
    <xf numFmtId="0" fontId="33" fillId="9" borderId="1" xfId="0" applyFont="1" applyFill="1" applyBorder="1"/>
    <xf numFmtId="49" fontId="2" fillId="4" borderId="1" xfId="1" applyNumberFormat="1" applyFill="1" applyBorder="1" applyAlignment="1">
      <alignment horizontal="left" vertical="top" wrapText="1"/>
    </xf>
    <xf numFmtId="0" fontId="30" fillId="4" borderId="20" xfId="0" applyFont="1" applyFill="1" applyBorder="1"/>
    <xf numFmtId="49" fontId="2" fillId="5" borderId="1" xfId="1" applyNumberFormat="1" applyFill="1" applyBorder="1" applyAlignment="1">
      <alignment horizontal="left" vertical="top" wrapText="1"/>
    </xf>
    <xf numFmtId="0" fontId="0" fillId="5" borderId="0" xfId="0" applyFill="1"/>
    <xf numFmtId="0" fontId="33" fillId="4" borderId="1" xfId="0" applyFont="1" applyFill="1" applyBorder="1"/>
    <xf numFmtId="0" fontId="30" fillId="45" borderId="1" xfId="0" applyFont="1" applyFill="1" applyBorder="1"/>
    <xf numFmtId="49" fontId="2" fillId="45" borderId="1" xfId="1" applyNumberFormat="1" applyFill="1" applyBorder="1" applyAlignment="1">
      <alignment horizontal="left" vertical="top" wrapText="1"/>
    </xf>
    <xf numFmtId="0" fontId="0" fillId="45" borderId="0" xfId="0" applyFill="1"/>
    <xf numFmtId="0" fontId="0" fillId="44" borderId="0" xfId="0" applyFill="1"/>
    <xf numFmtId="0" fontId="33" fillId="44" borderId="1" xfId="0" applyFont="1" applyFill="1" applyBorder="1"/>
    <xf numFmtId="49" fontId="2" fillId="44" borderId="1" xfId="1" applyNumberFormat="1" applyFill="1" applyBorder="1" applyAlignment="1">
      <alignment horizontal="left" vertical="top" wrapText="1"/>
    </xf>
    <xf numFmtId="0" fontId="30" fillId="45" borderId="20" xfId="0" applyFont="1" applyFill="1" applyBorder="1"/>
    <xf numFmtId="0" fontId="31" fillId="0" borderId="20" xfId="0" applyFont="1" applyBorder="1"/>
    <xf numFmtId="49" fontId="29" fillId="9" borderId="1" xfId="1" applyNumberFormat="1" applyFont="1" applyFill="1" applyBorder="1" applyAlignment="1">
      <alignment horizontal="left" vertical="top" wrapText="1"/>
    </xf>
    <xf numFmtId="0" fontId="2" fillId="0" borderId="17" xfId="1" applyBorder="1" applyAlignment="1">
      <alignment wrapText="1"/>
    </xf>
    <xf numFmtId="0" fontId="2" fillId="0" borderId="23" xfId="1" applyBorder="1" applyAlignment="1">
      <alignment wrapText="1"/>
    </xf>
    <xf numFmtId="0" fontId="0" fillId="2" borderId="21" xfId="0" applyFill="1" applyBorder="1" applyAlignment="1">
      <alignment wrapText="1"/>
    </xf>
    <xf numFmtId="0" fontId="33" fillId="0" borderId="1" xfId="0" applyFont="1" applyBorder="1" applyAlignment="1">
      <alignment wrapText="1"/>
    </xf>
    <xf numFmtId="0" fontId="33" fillId="9" borderId="1" xfId="0" applyFont="1" applyFill="1" applyBorder="1" applyAlignment="1">
      <alignment wrapText="1"/>
    </xf>
    <xf numFmtId="0" fontId="34" fillId="0" borderId="1" xfId="0" applyFont="1" applyBorder="1"/>
    <xf numFmtId="0" fontId="29" fillId="0" borderId="23" xfId="1" applyFont="1" applyBorder="1" applyAlignment="1">
      <alignment wrapText="1"/>
    </xf>
    <xf numFmtId="0" fontId="34" fillId="9" borderId="1" xfId="0" applyFont="1" applyFill="1" applyBorder="1" applyAlignment="1">
      <alignment wrapText="1"/>
    </xf>
    <xf numFmtId="0" fontId="35" fillId="0" borderId="20" xfId="0" applyFont="1" applyBorder="1"/>
    <xf numFmtId="49" fontId="36" fillId="9" borderId="1" xfId="1" applyNumberFormat="1" applyFont="1" applyFill="1" applyBorder="1" applyAlignment="1">
      <alignment horizontal="left" vertical="top" wrapText="1"/>
    </xf>
    <xf numFmtId="0" fontId="35" fillId="9" borderId="1" xfId="0" applyFont="1" applyFill="1" applyBorder="1"/>
    <xf numFmtId="0" fontId="35" fillId="0" borderId="1" xfId="0" applyFont="1" applyBorder="1"/>
    <xf numFmtId="0" fontId="0" fillId="46" borderId="17" xfId="0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33" fillId="0" borderId="3" xfId="0" applyFont="1" applyBorder="1"/>
    <xf numFmtId="0" fontId="2" fillId="0" borderId="29" xfId="1" applyBorder="1" applyAlignment="1">
      <alignment wrapText="1"/>
    </xf>
    <xf numFmtId="0" fontId="33" fillId="9" borderId="3" xfId="0" applyFont="1" applyFill="1" applyBorder="1" applyAlignment="1">
      <alignment wrapText="1"/>
    </xf>
    <xf numFmtId="0" fontId="33" fillId="9" borderId="17" xfId="0" applyFont="1" applyFill="1" applyBorder="1" applyAlignment="1">
      <alignment wrapText="1"/>
    </xf>
    <xf numFmtId="0" fontId="33" fillId="9" borderId="15" xfId="0" applyFont="1" applyFill="1" applyBorder="1" applyAlignment="1">
      <alignment wrapText="1"/>
    </xf>
    <xf numFmtId="0" fontId="33" fillId="9" borderId="20" xfId="0" applyFont="1" applyFill="1" applyBorder="1" applyAlignment="1">
      <alignment wrapText="1"/>
    </xf>
    <xf numFmtId="0" fontId="33" fillId="9" borderId="29" xfId="0" applyFont="1" applyFill="1" applyBorder="1" applyAlignment="1">
      <alignment wrapText="1"/>
    </xf>
    <xf numFmtId="0" fontId="0" fillId="0" borderId="1" xfId="0" applyBorder="1" applyAlignment="1">
      <alignment horizontal="left"/>
    </xf>
    <xf numFmtId="0" fontId="37" fillId="2" borderId="1" xfId="0" applyFont="1" applyFill="1" applyBorder="1" applyAlignment="1">
      <alignment wrapText="1"/>
    </xf>
    <xf numFmtId="0" fontId="37" fillId="2" borderId="21" xfId="0" applyFont="1" applyFill="1" applyBorder="1" applyAlignment="1">
      <alignment wrapText="1"/>
    </xf>
    <xf numFmtId="0" fontId="37" fillId="0" borderId="0" xfId="0" applyFont="1"/>
    <xf numFmtId="0" fontId="38" fillId="9" borderId="1" xfId="0" applyFont="1" applyFill="1" applyBorder="1" applyAlignment="1">
      <alignment wrapText="1"/>
    </xf>
    <xf numFmtId="0" fontId="37" fillId="0" borderId="1" xfId="0" applyFont="1" applyBorder="1" applyAlignment="1">
      <alignment wrapText="1"/>
    </xf>
    <xf numFmtId="0" fontId="38" fillId="0" borderId="1" xfId="0" applyFont="1" applyBorder="1" applyAlignment="1">
      <alignment wrapText="1"/>
    </xf>
    <xf numFmtId="0" fontId="39" fillId="0" borderId="1" xfId="1" applyFont="1" applyBorder="1" applyAlignment="1">
      <alignment wrapText="1"/>
    </xf>
    <xf numFmtId="0" fontId="38" fillId="9" borderId="11" xfId="0" applyFont="1" applyFill="1" applyBorder="1" applyAlignment="1">
      <alignment wrapText="1"/>
    </xf>
    <xf numFmtId="0" fontId="38" fillId="0" borderId="11" xfId="0" applyFont="1" applyBorder="1" applyAlignment="1">
      <alignment wrapText="1"/>
    </xf>
    <xf numFmtId="0" fontId="38" fillId="9" borderId="5" xfId="0" applyFont="1" applyFill="1" applyBorder="1" applyAlignment="1">
      <alignment wrapText="1"/>
    </xf>
    <xf numFmtId="0" fontId="38" fillId="9" borderId="3" xfId="0" applyFont="1" applyFill="1" applyBorder="1" applyAlignment="1">
      <alignment wrapText="1"/>
    </xf>
    <xf numFmtId="0" fontId="38" fillId="9" borderId="20" xfId="0" applyFont="1" applyFill="1" applyBorder="1" applyAlignment="1">
      <alignment wrapText="1"/>
    </xf>
    <xf numFmtId="0" fontId="37" fillId="0" borderId="23" xfId="0" applyFont="1" applyBorder="1"/>
    <xf numFmtId="0" fontId="37" fillId="0" borderId="17" xfId="0" applyFont="1" applyBorder="1"/>
    <xf numFmtId="0" fontId="41" fillId="9" borderId="1" xfId="0" applyFont="1" applyFill="1" applyBorder="1" applyAlignment="1">
      <alignment wrapText="1"/>
    </xf>
    <xf numFmtId="0" fontId="37" fillId="0" borderId="57" xfId="0" applyFont="1" applyBorder="1"/>
    <xf numFmtId="0" fontId="37" fillId="2" borderId="3" xfId="0" applyFont="1" applyFill="1" applyBorder="1" applyAlignment="1">
      <alignment wrapText="1"/>
    </xf>
    <xf numFmtId="0" fontId="37" fillId="2" borderId="26" xfId="0" applyFont="1" applyFill="1" applyBorder="1" applyAlignment="1">
      <alignment wrapText="1"/>
    </xf>
    <xf numFmtId="0" fontId="44" fillId="0" borderId="0" xfId="0" applyFont="1"/>
    <xf numFmtId="0" fontId="0" fillId="4" borderId="17" xfId="0" applyFill="1" applyBorder="1" applyAlignment="1">
      <alignment wrapText="1"/>
    </xf>
    <xf numFmtId="0" fontId="0" fillId="0" borderId="57" xfId="0" applyBorder="1" applyAlignment="1">
      <alignment wrapText="1"/>
    </xf>
    <xf numFmtId="0" fontId="5" fillId="0" borderId="57" xfId="0" applyFont="1" applyBorder="1" applyAlignment="1">
      <alignment wrapText="1"/>
    </xf>
    <xf numFmtId="0" fontId="5" fillId="4" borderId="17" xfId="0" applyFont="1" applyFill="1" applyBorder="1" applyAlignment="1">
      <alignment wrapText="1"/>
    </xf>
    <xf numFmtId="0" fontId="5" fillId="5" borderId="17" xfId="0" applyFont="1" applyFill="1" applyBorder="1" applyAlignment="1">
      <alignment wrapText="1"/>
    </xf>
    <xf numFmtId="0" fontId="5" fillId="5" borderId="6" xfId="0" applyFont="1" applyFill="1" applyBorder="1" applyAlignment="1">
      <alignment wrapText="1"/>
    </xf>
    <xf numFmtId="0" fontId="5" fillId="4" borderId="6" xfId="0" applyFont="1" applyFill="1" applyBorder="1" applyAlignment="1">
      <alignment wrapText="1"/>
    </xf>
    <xf numFmtId="0" fontId="44" fillId="0" borderId="17" xfId="0" applyFont="1" applyBorder="1" applyAlignment="1">
      <alignment wrapText="1"/>
    </xf>
    <xf numFmtId="0" fontId="2" fillId="0" borderId="57" xfId="1" applyBorder="1" applyAlignment="1">
      <alignment wrapText="1"/>
    </xf>
    <xf numFmtId="0" fontId="44" fillId="0" borderId="57" xfId="0" applyFont="1" applyBorder="1" applyAlignment="1">
      <alignment wrapText="1"/>
    </xf>
    <xf numFmtId="0" fontId="44" fillId="0" borderId="23" xfId="0" applyFont="1" applyBorder="1" applyAlignment="1">
      <alignment wrapText="1"/>
    </xf>
    <xf numFmtId="0" fontId="5" fillId="0" borderId="0" xfId="0" applyFont="1" applyAlignment="1">
      <alignment wrapText="1"/>
    </xf>
    <xf numFmtId="14" fontId="44" fillId="0" borderId="17" xfId="0" applyNumberFormat="1" applyFont="1" applyBorder="1" applyAlignment="1">
      <alignment wrapText="1"/>
    </xf>
    <xf numFmtId="0" fontId="5" fillId="0" borderId="62" xfId="0" applyFont="1" applyBorder="1" applyAlignment="1">
      <alignment wrapText="1"/>
    </xf>
    <xf numFmtId="0" fontId="2" fillId="0" borderId="6" xfId="1" applyBorder="1" applyAlignment="1">
      <alignment wrapText="1"/>
    </xf>
    <xf numFmtId="0" fontId="44" fillId="0" borderId="6" xfId="0" applyFont="1" applyBorder="1" applyAlignment="1">
      <alignment wrapText="1"/>
    </xf>
    <xf numFmtId="0" fontId="44" fillId="0" borderId="22" xfId="0" applyFont="1" applyBorder="1" applyAlignment="1">
      <alignment wrapText="1"/>
    </xf>
    <xf numFmtId="0" fontId="44" fillId="0" borderId="31" xfId="0" applyFont="1" applyBorder="1" applyAlignment="1">
      <alignment wrapText="1"/>
    </xf>
    <xf numFmtId="0" fontId="2" fillId="0" borderId="0" xfId="1"/>
    <xf numFmtId="0" fontId="0" fillId="0" borderId="22" xfId="0" applyBorder="1" applyAlignment="1">
      <alignment wrapText="1"/>
    </xf>
    <xf numFmtId="0" fontId="2" fillId="0" borderId="0" xfId="1" applyAlignment="1">
      <alignment wrapText="1"/>
    </xf>
    <xf numFmtId="0" fontId="45" fillId="9" borderId="1" xfId="1" applyFont="1" applyFill="1" applyBorder="1" applyAlignment="1">
      <alignment wrapText="1"/>
    </xf>
    <xf numFmtId="0" fontId="38" fillId="9" borderId="15" xfId="0" applyFont="1" applyFill="1" applyBorder="1" applyAlignment="1">
      <alignment wrapText="1"/>
    </xf>
    <xf numFmtId="0" fontId="46" fillId="9" borderId="1" xfId="0" applyFont="1" applyFill="1" applyBorder="1" applyAlignment="1">
      <alignment wrapText="1"/>
    </xf>
    <xf numFmtId="0" fontId="46" fillId="4" borderId="1" xfId="0" applyFont="1" applyFill="1" applyBorder="1" applyAlignment="1">
      <alignment wrapText="1"/>
    </xf>
    <xf numFmtId="0" fontId="45" fillId="0" borderId="1" xfId="1" applyFont="1" applyBorder="1" applyAlignment="1">
      <alignment horizontal="center" vertical="center" wrapText="1"/>
    </xf>
    <xf numFmtId="0" fontId="45" fillId="0" borderId="1" xfId="1" applyFont="1" applyBorder="1" applyAlignment="1">
      <alignment wrapText="1"/>
    </xf>
    <xf numFmtId="0" fontId="38" fillId="9" borderId="59" xfId="0" applyFont="1" applyFill="1" applyBorder="1" applyAlignment="1">
      <alignment wrapText="1"/>
    </xf>
    <xf numFmtId="0" fontId="38" fillId="9" borderId="19" xfId="0" applyFont="1" applyFill="1" applyBorder="1" applyAlignment="1">
      <alignment wrapText="1"/>
    </xf>
    <xf numFmtId="0" fontId="38" fillId="0" borderId="24" xfId="0" applyFont="1" applyBorder="1" applyAlignment="1">
      <alignment wrapText="1"/>
    </xf>
    <xf numFmtId="0" fontId="38" fillId="0" borderId="22" xfId="0" applyFont="1" applyBorder="1" applyAlignment="1">
      <alignment wrapText="1"/>
    </xf>
    <xf numFmtId="0" fontId="38" fillId="0" borderId="62" xfId="0" applyFont="1" applyBorder="1" applyAlignment="1">
      <alignment wrapText="1"/>
    </xf>
    <xf numFmtId="0" fontId="43" fillId="0" borderId="24" xfId="0" applyFont="1" applyBorder="1" applyAlignment="1">
      <alignment wrapText="1"/>
    </xf>
    <xf numFmtId="0" fontId="43" fillId="0" borderId="22" xfId="0" applyFont="1" applyBorder="1" applyAlignment="1">
      <alignment wrapText="1"/>
    </xf>
    <xf numFmtId="0" fontId="46" fillId="0" borderId="1" xfId="0" applyFont="1" applyBorder="1" applyAlignment="1">
      <alignment wrapText="1"/>
    </xf>
    <xf numFmtId="0" fontId="45" fillId="0" borderId="1" xfId="1" applyFont="1" applyFill="1" applyBorder="1" applyAlignment="1">
      <alignment wrapText="1"/>
    </xf>
    <xf numFmtId="0" fontId="5" fillId="6" borderId="17" xfId="0" applyFont="1" applyFill="1" applyBorder="1" applyAlignment="1">
      <alignment wrapText="1"/>
    </xf>
    <xf numFmtId="0" fontId="5" fillId="42" borderId="17" xfId="0" applyFont="1" applyFill="1" applyBorder="1" applyAlignment="1">
      <alignment wrapText="1"/>
    </xf>
    <xf numFmtId="0" fontId="5" fillId="9" borderId="67" xfId="0" applyFont="1" applyFill="1" applyBorder="1" applyAlignment="1">
      <alignment wrapText="1"/>
    </xf>
    <xf numFmtId="0" fontId="0" fillId="0" borderId="67" xfId="0" applyBorder="1" applyAlignment="1">
      <alignment wrapText="1"/>
    </xf>
    <xf numFmtId="0" fontId="0" fillId="0" borderId="68" xfId="0" applyBorder="1" applyAlignment="1">
      <alignment wrapText="1"/>
    </xf>
    <xf numFmtId="0" fontId="0" fillId="0" borderId="70" xfId="0" applyBorder="1" applyAlignment="1">
      <alignment wrapText="1"/>
    </xf>
    <xf numFmtId="0" fontId="0" fillId="0" borderId="72" xfId="0" applyBorder="1" applyAlignment="1">
      <alignment wrapText="1"/>
    </xf>
    <xf numFmtId="0" fontId="5" fillId="0" borderId="67" xfId="0" applyFont="1" applyBorder="1" applyAlignment="1">
      <alignment wrapText="1"/>
    </xf>
    <xf numFmtId="0" fontId="0" fillId="0" borderId="75" xfId="0" applyBorder="1" applyAlignment="1">
      <alignment wrapText="1"/>
    </xf>
    <xf numFmtId="0" fontId="0" fillId="0" borderId="31" xfId="0" applyBorder="1" applyAlignment="1">
      <alignment wrapText="1"/>
    </xf>
    <xf numFmtId="22" fontId="0" fillId="0" borderId="0" xfId="0" applyNumberFormat="1"/>
    <xf numFmtId="0" fontId="5" fillId="0" borderId="75" xfId="0" applyFont="1" applyBorder="1" applyAlignment="1">
      <alignment wrapText="1"/>
    </xf>
    <xf numFmtId="0" fontId="0" fillId="0" borderId="22" xfId="0" applyBorder="1"/>
    <xf numFmtId="0" fontId="0" fillId="0" borderId="78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5" fillId="0" borderId="79" xfId="0" applyFont="1" applyBorder="1" applyAlignment="1">
      <alignment wrapText="1"/>
    </xf>
    <xf numFmtId="0" fontId="5" fillId="0" borderId="34" xfId="0" applyFont="1" applyBorder="1" applyAlignment="1">
      <alignment wrapText="1"/>
    </xf>
    <xf numFmtId="0" fontId="47" fillId="2" borderId="3" xfId="0" applyFont="1" applyFill="1" applyBorder="1" applyAlignment="1">
      <alignment wrapText="1"/>
    </xf>
    <xf numFmtId="0" fontId="5" fillId="9" borderId="66" xfId="0" applyFont="1" applyFill="1" applyBorder="1" applyAlignment="1">
      <alignment wrapText="1"/>
    </xf>
    <xf numFmtId="0" fontId="5" fillId="9" borderId="69" xfId="0" applyFont="1" applyFill="1" applyBorder="1" applyAlignment="1">
      <alignment wrapText="1"/>
    </xf>
    <xf numFmtId="0" fontId="5" fillId="9" borderId="78" xfId="0" applyFont="1" applyFill="1" applyBorder="1" applyAlignment="1">
      <alignment wrapText="1"/>
    </xf>
    <xf numFmtId="0" fontId="0" fillId="0" borderId="75" xfId="0" applyBorder="1"/>
    <xf numFmtId="0" fontId="0" fillId="0" borderId="68" xfId="0" applyBorder="1"/>
    <xf numFmtId="0" fontId="0" fillId="0" borderId="70" xfId="0" applyBorder="1"/>
    <xf numFmtId="0" fontId="5" fillId="9" borderId="71" xfId="0" applyFont="1" applyFill="1" applyBorder="1" applyAlignment="1">
      <alignment wrapText="1"/>
    </xf>
    <xf numFmtId="0" fontId="5" fillId="0" borderId="52" xfId="0" applyFont="1" applyBorder="1" applyAlignment="1">
      <alignment wrapText="1"/>
    </xf>
    <xf numFmtId="0" fontId="0" fillId="0" borderId="31" xfId="0" applyBorder="1"/>
    <xf numFmtId="0" fontId="48" fillId="0" borderId="17" xfId="0" applyFont="1" applyBorder="1"/>
    <xf numFmtId="0" fontId="48" fillId="6" borderId="17" xfId="0" applyFont="1" applyFill="1" applyBorder="1"/>
    <xf numFmtId="0" fontId="48" fillId="43" borderId="17" xfId="0" applyFont="1" applyFill="1" applyBorder="1"/>
    <xf numFmtId="0" fontId="48" fillId="4" borderId="17" xfId="0" applyFont="1" applyFill="1" applyBorder="1"/>
    <xf numFmtId="0" fontId="0" fillId="0" borderId="72" xfId="0" applyBorder="1"/>
    <xf numFmtId="0" fontId="48" fillId="6" borderId="67" xfId="0" applyFont="1" applyFill="1" applyBorder="1"/>
    <xf numFmtId="0" fontId="0" fillId="0" borderId="67" xfId="0" applyBorder="1"/>
    <xf numFmtId="0" fontId="0" fillId="0" borderId="82" xfId="0" applyBorder="1" applyAlignment="1">
      <alignment wrapText="1"/>
    </xf>
    <xf numFmtId="0" fontId="0" fillId="0" borderId="83" xfId="0" applyBorder="1" applyAlignment="1">
      <alignment wrapText="1"/>
    </xf>
    <xf numFmtId="0" fontId="0" fillId="0" borderId="84" xfId="0" applyBorder="1" applyAlignment="1">
      <alignment wrapText="1"/>
    </xf>
    <xf numFmtId="0" fontId="0" fillId="0" borderId="86" xfId="0" applyBorder="1" applyAlignment="1">
      <alignment wrapText="1"/>
    </xf>
    <xf numFmtId="0" fontId="48" fillId="0" borderId="6" xfId="0" applyFont="1" applyBorder="1"/>
    <xf numFmtId="0" fontId="37" fillId="2" borderId="26" xfId="0" applyFont="1" applyFill="1" applyBorder="1" applyAlignment="1">
      <alignment horizontal="center" wrapText="1"/>
    </xf>
    <xf numFmtId="0" fontId="0" fillId="0" borderId="87" xfId="0" applyBorder="1" applyAlignment="1">
      <alignment wrapText="1"/>
    </xf>
    <xf numFmtId="0" fontId="2" fillId="0" borderId="1" xfId="1" applyBorder="1"/>
    <xf numFmtId="0" fontId="5" fillId="4" borderId="1" xfId="0" applyFont="1" applyFill="1" applyBorder="1" applyAlignment="1">
      <alignment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1" xfId="0" applyBorder="1" applyAlignment="1">
      <alignment horizontal="center" vertical="center" wrapText="1"/>
    </xf>
    <xf numFmtId="0" fontId="0" fillId="0" borderId="85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6" xfId="0" applyBorder="1" applyAlignment="1">
      <alignment horizontal="center" vertical="center" wrapText="1"/>
    </xf>
    <xf numFmtId="0" fontId="0" fillId="0" borderId="77" xfId="0" applyBorder="1" applyAlignment="1">
      <alignment horizontal="center" vertical="center" wrapText="1"/>
    </xf>
    <xf numFmtId="0" fontId="0" fillId="0" borderId="73" xfId="0" applyBorder="1" applyAlignment="1">
      <alignment horizontal="center" vertical="center" wrapText="1"/>
    </xf>
    <xf numFmtId="0" fontId="0" fillId="0" borderId="74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37" fillId="2" borderId="26" xfId="0" applyFont="1" applyFill="1" applyBorder="1" applyAlignment="1">
      <alignment horizontal="center" wrapText="1"/>
    </xf>
    <xf numFmtId="0" fontId="37" fillId="2" borderId="15" xfId="0" applyFont="1" applyFill="1" applyBorder="1" applyAlignment="1">
      <alignment horizontal="center" wrapText="1"/>
    </xf>
    <xf numFmtId="0" fontId="0" fillId="0" borderId="67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6" xfId="0" applyBorder="1" applyAlignment="1">
      <alignment horizontal="center" vertical="center" wrapText="1"/>
    </xf>
    <xf numFmtId="0" fontId="0" fillId="0" borderId="69" xfId="0" applyBorder="1" applyAlignment="1">
      <alignment horizontal="center" vertical="center" wrapText="1"/>
    </xf>
    <xf numFmtId="0" fontId="0" fillId="0" borderId="71" xfId="0" applyBorder="1" applyAlignment="1">
      <alignment horizontal="center" vertical="center" wrapText="1"/>
    </xf>
    <xf numFmtId="0" fontId="0" fillId="0" borderId="66" xfId="0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6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44" fillId="0" borderId="17" xfId="0" applyFont="1" applyBorder="1" applyAlignment="1">
      <alignment horizontal="left" vertical="center" wrapText="1"/>
    </xf>
    <xf numFmtId="0" fontId="44" fillId="0" borderId="6" xfId="0" applyFont="1" applyBorder="1" applyAlignment="1">
      <alignment horizontal="left" vertical="center" wrapText="1"/>
    </xf>
    <xf numFmtId="0" fontId="44" fillId="0" borderId="1" xfId="0" applyFont="1" applyBorder="1" applyAlignment="1">
      <alignment horizontal="left" vertical="center" wrapText="1"/>
    </xf>
    <xf numFmtId="0" fontId="44" fillId="0" borderId="23" xfId="0" applyFont="1" applyBorder="1" applyAlignment="1">
      <alignment horizontal="left" vertical="center" wrapText="1"/>
    </xf>
    <xf numFmtId="0" fontId="44" fillId="0" borderId="29" xfId="0" applyFont="1" applyBorder="1" applyAlignment="1">
      <alignment horizontal="left" vertical="center" wrapText="1"/>
    </xf>
    <xf numFmtId="0" fontId="0" fillId="0" borderId="8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37" fillId="2" borderId="58" xfId="0" applyFont="1" applyFill="1" applyBorder="1" applyAlignment="1">
      <alignment horizontal="center" wrapText="1"/>
    </xf>
    <xf numFmtId="0" fontId="37" fillId="2" borderId="59" xfId="0" applyFont="1" applyFill="1" applyBorder="1" applyAlignment="1">
      <alignment horizontal="center" wrapText="1"/>
    </xf>
    <xf numFmtId="164" fontId="0" fillId="0" borderId="8" xfId="0" applyNumberFormat="1" applyBorder="1" applyAlignment="1">
      <alignment horizontal="center" vertical="center" wrapText="1"/>
    </xf>
    <xf numFmtId="164" fontId="0" fillId="0" borderId="31" xfId="0" applyNumberFormat="1" applyBorder="1" applyAlignment="1">
      <alignment horizontal="center" vertical="center" wrapText="1"/>
    </xf>
    <xf numFmtId="164" fontId="0" fillId="0" borderId="30" xfId="0" applyNumberFormat="1" applyBorder="1" applyAlignment="1">
      <alignment horizontal="center" vertical="center" wrapText="1"/>
    </xf>
    <xf numFmtId="164" fontId="0" fillId="0" borderId="32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164" fontId="0" fillId="0" borderId="60" xfId="0" applyNumberFormat="1" applyBorder="1" applyAlignment="1">
      <alignment horizontal="center" vertical="center" wrapText="1"/>
    </xf>
    <xf numFmtId="164" fontId="0" fillId="0" borderId="61" xfId="0" applyNumberFormat="1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164" fontId="0" fillId="0" borderId="22" xfId="0" applyNumberFormat="1" applyBorder="1" applyAlignment="1">
      <alignment horizontal="center" vertical="center" wrapText="1"/>
    </xf>
    <xf numFmtId="164" fontId="0" fillId="0" borderId="17" xfId="0" applyNumberFormat="1" applyBorder="1" applyAlignment="1">
      <alignment horizontal="center" vertical="center" wrapText="1"/>
    </xf>
    <xf numFmtId="164" fontId="0" fillId="0" borderId="6" xfId="0" applyNumberFormat="1" applyBorder="1" applyAlignment="1">
      <alignment horizontal="center" vertical="center" wrapText="1"/>
    </xf>
    <xf numFmtId="164" fontId="0" fillId="0" borderId="29" xfId="0" applyNumberFormat="1" applyBorder="1" applyAlignment="1">
      <alignment horizontal="center" vertical="center" wrapText="1"/>
    </xf>
    <xf numFmtId="164" fontId="0" fillId="0" borderId="24" xfId="0" applyNumberFormat="1" applyBorder="1" applyAlignment="1">
      <alignment horizontal="center" vertical="center" wrapText="1"/>
    </xf>
    <xf numFmtId="164" fontId="0" fillId="0" borderId="23" xfId="0" applyNumberFormat="1" applyBorder="1" applyAlignment="1">
      <alignment horizontal="center" vertical="center" wrapText="1"/>
    </xf>
    <xf numFmtId="0" fontId="42" fillId="0" borderId="29" xfId="0" applyFont="1" applyBorder="1" applyAlignment="1">
      <alignment vertical="center"/>
    </xf>
    <xf numFmtId="0" fontId="42" fillId="0" borderId="23" xfId="0" applyFont="1" applyBorder="1" applyAlignment="1">
      <alignment vertical="center"/>
    </xf>
    <xf numFmtId="0" fontId="37" fillId="0" borderId="29" xfId="0" applyFont="1" applyBorder="1" applyAlignment="1">
      <alignment horizontal="left" vertical="center" wrapText="1"/>
    </xf>
    <xf numFmtId="0" fontId="37" fillId="0" borderId="54" xfId="0" applyFont="1" applyBorder="1" applyAlignment="1">
      <alignment horizontal="left" vertical="center" wrapText="1"/>
    </xf>
    <xf numFmtId="0" fontId="38" fillId="9" borderId="4" xfId="0" applyFont="1" applyFill="1" applyBorder="1" applyAlignment="1">
      <alignment horizontal="left" vertical="center" wrapText="1"/>
    </xf>
    <xf numFmtId="0" fontId="38" fillId="9" borderId="5" xfId="0" applyFont="1" applyFill="1" applyBorder="1" applyAlignment="1">
      <alignment horizontal="left" vertical="center" wrapText="1"/>
    </xf>
    <xf numFmtId="0" fontId="37" fillId="0" borderId="29" xfId="0" applyFont="1" applyBorder="1" applyAlignment="1">
      <alignment horizontal="center" vertical="center"/>
    </xf>
    <xf numFmtId="0" fontId="37" fillId="0" borderId="54" xfId="0" applyFont="1" applyBorder="1" applyAlignment="1">
      <alignment horizontal="center" vertical="center"/>
    </xf>
    <xf numFmtId="0" fontId="38" fillId="0" borderId="3" xfId="0" applyFont="1" applyBorder="1" applyAlignment="1">
      <alignment horizontal="center" vertical="center"/>
    </xf>
    <xf numFmtId="0" fontId="38" fillId="0" borderId="4" xfId="0" applyFont="1" applyBorder="1" applyAlignment="1">
      <alignment horizontal="center" vertical="center"/>
    </xf>
    <xf numFmtId="0" fontId="38" fillId="0" borderId="55" xfId="0" applyFont="1" applyBorder="1" applyAlignment="1">
      <alignment horizontal="center" vertical="center"/>
    </xf>
    <xf numFmtId="0" fontId="38" fillId="0" borderId="26" xfId="0" applyFont="1" applyBorder="1" applyAlignment="1">
      <alignment horizontal="center" vertical="center"/>
    </xf>
    <xf numFmtId="0" fontId="38" fillId="0" borderId="2" xfId="0" applyFont="1" applyBorder="1" applyAlignment="1">
      <alignment horizontal="center" vertical="center"/>
    </xf>
    <xf numFmtId="0" fontId="38" fillId="0" borderId="63" xfId="0" applyFont="1" applyBorder="1" applyAlignment="1">
      <alignment horizontal="center" vertical="center"/>
    </xf>
    <xf numFmtId="0" fontId="38" fillId="9" borderId="4" xfId="0" applyFont="1" applyFill="1" applyBorder="1" applyAlignment="1">
      <alignment horizontal="center" vertical="center" wrapText="1"/>
    </xf>
    <xf numFmtId="0" fontId="38" fillId="9" borderId="55" xfId="0" applyFont="1" applyFill="1" applyBorder="1" applyAlignment="1">
      <alignment horizontal="center" vertical="center" wrapText="1"/>
    </xf>
    <xf numFmtId="0" fontId="37" fillId="0" borderId="39" xfId="0" applyFont="1" applyBorder="1" applyAlignment="1">
      <alignment horizontal="center" vertical="center"/>
    </xf>
    <xf numFmtId="0" fontId="37" fillId="0" borderId="56" xfId="0" applyFont="1" applyBorder="1" applyAlignment="1">
      <alignment horizontal="center" vertical="center"/>
    </xf>
    <xf numFmtId="0" fontId="38" fillId="9" borderId="64" xfId="0" applyFont="1" applyFill="1" applyBorder="1" applyAlignment="1">
      <alignment horizontal="center" wrapText="1"/>
    </xf>
    <xf numFmtId="0" fontId="38" fillId="9" borderId="4" xfId="0" applyFont="1" applyFill="1" applyBorder="1" applyAlignment="1">
      <alignment horizontal="center" wrapText="1"/>
    </xf>
    <xf numFmtId="0" fontId="38" fillId="9" borderId="55" xfId="0" applyFont="1" applyFill="1" applyBorder="1" applyAlignment="1">
      <alignment horizontal="center" wrapText="1"/>
    </xf>
    <xf numFmtId="0" fontId="37" fillId="0" borderId="65" xfId="0" applyFont="1" applyBorder="1" applyAlignment="1">
      <alignment horizontal="center"/>
    </xf>
    <xf numFmtId="0" fontId="37" fillId="0" borderId="39" xfId="0" applyFont="1" applyBorder="1" applyAlignment="1">
      <alignment horizontal="center"/>
    </xf>
    <xf numFmtId="0" fontId="37" fillId="0" borderId="56" xfId="0" applyFont="1" applyBorder="1" applyAlignment="1">
      <alignment horizontal="center"/>
    </xf>
    <xf numFmtId="0" fontId="37" fillId="0" borderId="40" xfId="0" applyFont="1" applyBorder="1" applyAlignment="1">
      <alignment horizontal="center"/>
    </xf>
    <xf numFmtId="0" fontId="33" fillId="0" borderId="3" xfId="0" applyFont="1" applyBorder="1" applyAlignment="1">
      <alignment horizontal="center" vertical="center"/>
    </xf>
    <xf numFmtId="0" fontId="33" fillId="0" borderId="4" xfId="0" applyFont="1" applyBorder="1" applyAlignment="1">
      <alignment horizontal="center" vertical="center"/>
    </xf>
    <xf numFmtId="0" fontId="33" fillId="0" borderId="5" xfId="0" applyFont="1" applyBorder="1" applyAlignment="1">
      <alignment horizontal="center" vertical="center"/>
    </xf>
    <xf numFmtId="0" fontId="33" fillId="0" borderId="3" xfId="0" applyFont="1" applyBorder="1" applyAlignment="1">
      <alignment horizontal="center"/>
    </xf>
    <xf numFmtId="0" fontId="33" fillId="0" borderId="4" xfId="0" applyFont="1" applyBorder="1" applyAlignment="1">
      <alignment horizontal="center"/>
    </xf>
    <xf numFmtId="0" fontId="33" fillId="0" borderId="5" xfId="0" applyFont="1" applyBorder="1" applyAlignment="1">
      <alignment horizontal="center"/>
    </xf>
    <xf numFmtId="0" fontId="33" fillId="9" borderId="3" xfId="0" applyFont="1" applyFill="1" applyBorder="1" applyAlignment="1">
      <alignment horizontal="center" vertical="center" wrapText="1"/>
    </xf>
    <xf numFmtId="0" fontId="33" fillId="9" borderId="4" xfId="0" applyFont="1" applyFill="1" applyBorder="1" applyAlignment="1">
      <alignment horizontal="center" vertical="center" wrapText="1"/>
    </xf>
    <xf numFmtId="0" fontId="33" fillId="9" borderId="5" xfId="0" applyFont="1" applyFill="1" applyBorder="1" applyAlignment="1">
      <alignment horizontal="center" vertical="center" wrapText="1"/>
    </xf>
    <xf numFmtId="0" fontId="33" fillId="9" borderId="3" xfId="0" applyFont="1" applyFill="1" applyBorder="1" applyAlignment="1">
      <alignment horizontal="center" wrapText="1"/>
    </xf>
    <xf numFmtId="0" fontId="33" fillId="9" borderId="4" xfId="0" applyFont="1" applyFill="1" applyBorder="1" applyAlignment="1">
      <alignment horizontal="center" wrapText="1"/>
    </xf>
    <xf numFmtId="0" fontId="33" fillId="9" borderId="5" xfId="0" applyFont="1" applyFill="1" applyBorder="1" applyAlignment="1">
      <alignment horizontal="center" wrapText="1"/>
    </xf>
    <xf numFmtId="0" fontId="33" fillId="9" borderId="2" xfId="0" applyFont="1" applyFill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5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2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10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left" vertical="top"/>
    </xf>
  </cellXfs>
  <cellStyles count="43">
    <cellStyle name="20% - 着色 1" xfId="20" builtinId="30" customBuiltin="1"/>
    <cellStyle name="20% - 着色 2" xfId="24" builtinId="34" customBuiltin="1"/>
    <cellStyle name="20% - 着色 3" xfId="28" builtinId="38" customBuiltin="1"/>
    <cellStyle name="20% - 着色 4" xfId="32" builtinId="42" customBuiltin="1"/>
    <cellStyle name="20% - 着色 5" xfId="36" builtinId="46" customBuiltin="1"/>
    <cellStyle name="20% - 着色 6" xfId="40" builtinId="50" customBuiltin="1"/>
    <cellStyle name="40% - 着色 1" xfId="21" builtinId="31" customBuiltin="1"/>
    <cellStyle name="40% - 着色 2" xfId="25" builtinId="35" customBuiltin="1"/>
    <cellStyle name="40% - 着色 3" xfId="29" builtinId="39" customBuiltin="1"/>
    <cellStyle name="40% - 着色 4" xfId="33" builtinId="43" customBuiltin="1"/>
    <cellStyle name="40% - 着色 5" xfId="37" builtinId="47" customBuiltin="1"/>
    <cellStyle name="40% - 着色 6" xfId="41" builtinId="51" customBuiltin="1"/>
    <cellStyle name="60% - 着色 1" xfId="22" builtinId="32" customBuiltin="1"/>
    <cellStyle name="60% - 着色 2" xfId="26" builtinId="36" customBuiltin="1"/>
    <cellStyle name="60% - 着色 3" xfId="30" builtinId="40" customBuiltin="1"/>
    <cellStyle name="60% - 着色 4" xfId="34" builtinId="44" customBuiltin="1"/>
    <cellStyle name="60% - 着色 5" xfId="38" builtinId="48" customBuiltin="1"/>
    <cellStyle name="60% - 着色 6" xfId="42" builtinId="52" customBuiltin="1"/>
    <cellStyle name="好" xfId="7" builtinId="26" customBuiltin="1"/>
    <cellStyle name="差" xfId="8" builtinId="27" customBuiltin="1"/>
    <cellStyle name="常规" xfId="0" builtinId="0"/>
    <cellStyle name="标题" xfId="2" builtinId="15" customBuiltin="1"/>
    <cellStyle name="标题 1" xfId="3" builtinId="16" customBuiltin="1"/>
    <cellStyle name="标题 2" xfId="4" builtinId="17" customBuiltin="1"/>
    <cellStyle name="标题 3" xfId="5" builtinId="18" customBuiltin="1"/>
    <cellStyle name="标题 4" xfId="6" builtinId="19" customBuiltin="1"/>
    <cellStyle name="检查单元格" xfId="14" builtinId="23" customBuiltin="1"/>
    <cellStyle name="汇总" xfId="18" builtinId="25" customBuiltin="1"/>
    <cellStyle name="注释" xfId="16" builtinId="10" customBuiltin="1"/>
    <cellStyle name="着色 1" xfId="19" builtinId="29" customBuiltin="1"/>
    <cellStyle name="着色 2" xfId="23" builtinId="33" customBuiltin="1"/>
    <cellStyle name="着色 3" xfId="27" builtinId="37" customBuiltin="1"/>
    <cellStyle name="着色 4" xfId="31" builtinId="41" customBuiltin="1"/>
    <cellStyle name="着色 5" xfId="35" builtinId="45" customBuiltin="1"/>
    <cellStyle name="着色 6" xfId="39" builtinId="49" customBuiltin="1"/>
    <cellStyle name="解释性文本" xfId="17" builtinId="53" customBuiltin="1"/>
    <cellStyle name="警告文本" xfId="15" builtinId="11" customBuiltin="1"/>
    <cellStyle name="计算" xfId="12" builtinId="22" customBuiltin="1"/>
    <cellStyle name="超链接" xfId="1" builtinId="8"/>
    <cellStyle name="输入" xfId="10" builtinId="20" customBuiltin="1"/>
    <cellStyle name="输出" xfId="11" builtinId="21" customBuiltin="1"/>
    <cellStyle name="适中" xfId="9" builtinId="28" customBuiltin="1"/>
    <cellStyle name="链接单元格" xfId="13" builtinId="24" customBuiltin="1"/>
  </cellStyles>
  <dxfs count="0"/>
  <tableStyles count="0" defaultTableStyle="TableStyleMedium2" defaultPivotStyle="PivotStyleLight16"/>
  <colors>
    <mruColors>
      <color rgb="FFC3FF00"/>
      <color rgb="FFC8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525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56F3B8F-1315-4159-83FC-29F151EA05DF}">
  <we:reference id="wa200000556" version="1.1.0.0" store="en-US" storeType="OMEX"/>
  <we:alternateReferences>
    <we:reference id="wa200000556" version="1.1.0.0" store="wa200000556" storeType="OMEX"/>
  </we:alternateReferences>
  <we:properties>
    <we:property name="documentId" value="&quot;a6184f2c-588a-4e8e-8d4d-841d025366a9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_xldudf_JIRA_JQL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iley-global.atlassian.net/browse/CT-13869?atlOrigin=eyJpIjoiMjBhNWIzMmFjMjdiNGE1YzhhZTE4YmM0ZjA0MDM4ZWYiLCJwIjoiZXhjZWwtamlyYSJ9" TargetMode="External"/><Relationship Id="rId13" Type="http://schemas.openxmlformats.org/officeDocument/2006/relationships/hyperlink" Target="https://wiley-global.atlassian.net/browse/CT-10354?atlOrigin=eyJpIjoiMjBhNWIzMmFjMjdiNGE1YzhhZTE4YmM0ZjA0MDM4ZWYiLCJwIjoiZXhjZWwtamlyYSJ9" TargetMode="External"/><Relationship Id="rId3" Type="http://schemas.openxmlformats.org/officeDocument/2006/relationships/hyperlink" Target="https://wiley-global.atlassian.net/browse/CT-14069?atlOrigin=eyJpIjoiMjBhNWIzMmFjMjdiNGE1YzhhZTE4YmM0ZjA0MDM4ZWYiLCJwIjoiZXhjZWwtamlyYSJ9" TargetMode="External"/><Relationship Id="rId7" Type="http://schemas.openxmlformats.org/officeDocument/2006/relationships/hyperlink" Target="https://wiley-global.atlassian.net/browse/CT-13914?atlOrigin=eyJpIjoiMjBhNWIzMmFjMjdiNGE1YzhhZTE4YmM0ZjA0MDM4ZWYiLCJwIjoiZXhjZWwtamlyYSJ9" TargetMode="External"/><Relationship Id="rId12" Type="http://schemas.openxmlformats.org/officeDocument/2006/relationships/hyperlink" Target="https://wiley-global.atlassian.net/browse/CT-13235?atlOrigin=eyJpIjoiMjBhNWIzMmFjMjdiNGE1YzhhZTE4YmM0ZjA0MDM4ZWYiLCJwIjoiZXhjZWwtamlyYSJ9" TargetMode="External"/><Relationship Id="rId2" Type="http://schemas.openxmlformats.org/officeDocument/2006/relationships/hyperlink" Target="https://wiley-global.atlassian.net/browse/CT-14074?atlOrigin=eyJpIjoiMjBhNWIzMmFjMjdiNGE1YzhhZTE4YmM0ZjA0MDM4ZWYiLCJwIjoiZXhjZWwtamlyYSJ9" TargetMode="External"/><Relationship Id="rId1" Type="http://schemas.openxmlformats.org/officeDocument/2006/relationships/hyperlink" Target="https://wiley-global.atlassian.net/browse/CT-14110?atlOrigin=eyJpIjoiMjBhNWIzMmFjMjdiNGE1YzhhZTE4YmM0ZjA0MDM4ZWYiLCJwIjoiZXhjZWwtamlyYSJ9" TargetMode="External"/><Relationship Id="rId6" Type="http://schemas.openxmlformats.org/officeDocument/2006/relationships/hyperlink" Target="https://wiley-global.atlassian.net/browse/CT-13948?atlOrigin=eyJpIjoiMjBhNWIzMmFjMjdiNGE1YzhhZTE4YmM0ZjA0MDM4ZWYiLCJwIjoiZXhjZWwtamlyYSJ9" TargetMode="External"/><Relationship Id="rId11" Type="http://schemas.openxmlformats.org/officeDocument/2006/relationships/hyperlink" Target="https://wiley-global.atlassian.net/browse/CT-13406?atlOrigin=eyJpIjoiMjBhNWIzMmFjMjdiNGE1YzhhZTE4YmM0ZjA0MDM4ZWYiLCJwIjoiZXhjZWwtamlyYSJ9" TargetMode="External"/><Relationship Id="rId5" Type="http://schemas.openxmlformats.org/officeDocument/2006/relationships/hyperlink" Target="https://wiley-global.atlassian.net/browse/CT-14015?atlOrigin=eyJpIjoiMjBhNWIzMmFjMjdiNGE1YzhhZTE4YmM0ZjA0MDM4ZWYiLCJwIjoiZXhjZWwtamlyYSJ9" TargetMode="External"/><Relationship Id="rId10" Type="http://schemas.openxmlformats.org/officeDocument/2006/relationships/hyperlink" Target="https://wiley-global.atlassian.net/browse/CT-13758?atlOrigin=eyJpIjoiMjBhNWIzMmFjMjdiNGE1YzhhZTE4YmM0ZjA0MDM4ZWYiLCJwIjoiZXhjZWwtamlyYSJ9" TargetMode="External"/><Relationship Id="rId4" Type="http://schemas.openxmlformats.org/officeDocument/2006/relationships/hyperlink" Target="https://wiley-global.atlassian.net/browse/CT-14042?atlOrigin=eyJpIjoiMjBhNWIzMmFjMjdiNGE1YzhhZTE4YmM0ZjA0MDM4ZWYiLCJwIjoiZXhjZWwtamlyYSJ9" TargetMode="External"/><Relationship Id="rId9" Type="http://schemas.openxmlformats.org/officeDocument/2006/relationships/hyperlink" Target="https://wiley-global.atlassian.net/browse/CT-13824?atlOrigin=eyJpIjoiMjBhNWIzMmFjMjdiNGE1YzhhZTE4YmM0ZjA0MDM4ZWYiLCJwIjoiZXhjZWwtamlyYSJ9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wiley-global.atlassian.net/browse/CT-13959?atlOrigin=eyJpIjoiMjBhNWIzMmFjMjdiNGE1YzhhZTE4YmM0ZjA0MDM4ZWYiLCJwIjoiZXhjZWwtamlyYSJ9" TargetMode="External"/><Relationship Id="rId18" Type="http://schemas.openxmlformats.org/officeDocument/2006/relationships/hyperlink" Target="https://wiley-global.atlassian.net/browse/CT-13868?atlOrigin=eyJpIjoiMjBhNWIzMmFjMjdiNGE1YzhhZTE4YmM0ZjA0MDM4ZWYiLCJwIjoiZXhjZWwtamlyYSJ9" TargetMode="External"/><Relationship Id="rId26" Type="http://schemas.openxmlformats.org/officeDocument/2006/relationships/hyperlink" Target="https://wiley-global.atlassian.net/browse/CT-13989?atlOrigin=eyJpIjoiMjBhNWIzMmFjMjdiNGE1YzhhZTE4YmM0ZjA0MDM4ZWYiLCJwIjoiZXhjZWwtamlyYSJ9" TargetMode="External"/><Relationship Id="rId39" Type="http://schemas.openxmlformats.org/officeDocument/2006/relationships/hyperlink" Target="https://wiley-global.atlassian.net/browse/CT-13903?atlOrigin=eyJpIjoiMjBhNWIzMmFjMjdiNGE1YzhhZTE4YmM0ZjA0MDM4ZWYiLCJwIjoiZXhjZWwtamlyYSJ9" TargetMode="External"/><Relationship Id="rId21" Type="http://schemas.openxmlformats.org/officeDocument/2006/relationships/hyperlink" Target="https://wiley-global.atlassian.net/browse/CT-13410?atlOrigin=eyJpIjoiMjBhNWIzMmFjMjdiNGE1YzhhZTE4YmM0ZjA0MDM4ZWYiLCJwIjoiZXhjZWwtamlyYSJ9" TargetMode="External"/><Relationship Id="rId34" Type="http://schemas.openxmlformats.org/officeDocument/2006/relationships/hyperlink" Target="https://wiley-global.atlassian.net/browse/CT-13969?atlOrigin=eyJpIjoiMjBhNWIzMmFjMjdiNGE1YzhhZTE4YmM0ZjA0MDM4ZWYiLCJwIjoiZXhjZWwtamlyYSJ9" TargetMode="External"/><Relationship Id="rId42" Type="http://schemas.openxmlformats.org/officeDocument/2006/relationships/hyperlink" Target="https://wiley-global.atlassian.net/browse/CT-13232?atlOrigin=eyJpIjoiMjBhNWIzMmFjMjdiNGE1YzhhZTE4YmM0ZjA0MDM4ZWYiLCJwIjoiZXhjZWwtamlyYSJ9" TargetMode="External"/><Relationship Id="rId7" Type="http://schemas.openxmlformats.org/officeDocument/2006/relationships/hyperlink" Target="https://wiley-global.atlassian.net/browse/CT-10354?atlOrigin=eyJpIjoiMjBhNWIzMmFjMjdiNGE1YzhhZTE4YmM0ZjA0MDM4ZWYiLCJwIjoiZXhjZWwtamlyYSJ9" TargetMode="External"/><Relationship Id="rId2" Type="http://schemas.openxmlformats.org/officeDocument/2006/relationships/hyperlink" Target="https://wiley-global.atlassian.net/browse/CT-13948?atlOrigin=eyJpIjoiMjBhNWIzMmFjMjdiNGE1YzhhZTE4YmM0ZjA0MDM4ZWYiLCJwIjoiZXhjZWwtamlyYSJ9" TargetMode="External"/><Relationship Id="rId16" Type="http://schemas.openxmlformats.org/officeDocument/2006/relationships/hyperlink" Target="https://wiley-global.atlassian.net/browse/CT-13876?atlOrigin=eyJpIjoiMjBhNWIzMmFjMjdiNGE1YzhhZTE4YmM0ZjA0MDM4ZWYiLCJwIjoiZXhjZWwtamlyYSJ9" TargetMode="External"/><Relationship Id="rId20" Type="http://schemas.openxmlformats.org/officeDocument/2006/relationships/hyperlink" Target="https://wiley-global.atlassian.net/browse/CT-13411?atlOrigin=eyJpIjoiMjBhNWIzMmFjMjdiNGE1YzhhZTE4YmM0ZjA0MDM4ZWYiLCJwIjoiZXhjZWwtamlyYSJ9" TargetMode="External"/><Relationship Id="rId29" Type="http://schemas.openxmlformats.org/officeDocument/2006/relationships/hyperlink" Target="https://wiley-global.atlassian.net/browse/CT-13986?atlOrigin=eyJpIjoiMjBhNWIzMmFjMjdiNGE1YzhhZTE4YmM0ZjA0MDM4ZWYiLCJwIjoiZXhjZWwtamlyYSJ9" TargetMode="External"/><Relationship Id="rId41" Type="http://schemas.openxmlformats.org/officeDocument/2006/relationships/hyperlink" Target="https://wiley-global.atlassian.net/browse/CT-13234?atlOrigin=eyJpIjoiMjBhNWIzMmFjMjdiNGE1YzhhZTE4YmM0ZjA0MDM4ZWYiLCJwIjoiZXhjZWwtamlyYSJ9" TargetMode="External"/><Relationship Id="rId1" Type="http://schemas.openxmlformats.org/officeDocument/2006/relationships/hyperlink" Target="https://wiley-global.atlassian.net/browse/CT-14015?atlOrigin=eyJpIjoiMjBhNWIzMmFjMjdiNGE1YzhhZTE4YmM0ZjA0MDM4ZWYiLCJwIjoiZXhjZWwtamlyYSJ9" TargetMode="External"/><Relationship Id="rId6" Type="http://schemas.openxmlformats.org/officeDocument/2006/relationships/hyperlink" Target="https://wiley-global.atlassian.net/browse/CT-13235?atlOrigin=eyJpIjoiMjBhNWIzMmFjMjdiNGE1YzhhZTE4YmM0ZjA0MDM4ZWYiLCJwIjoiZXhjZWwtamlyYSJ9" TargetMode="External"/><Relationship Id="rId11" Type="http://schemas.openxmlformats.org/officeDocument/2006/relationships/hyperlink" Target="https://wiley-global.atlassian.net/browse/CT-13985?atlOrigin=eyJpIjoiMjBhNWIzMmFjMjdiNGE1YzhhZTE4YmM0ZjA0MDM4ZWYiLCJwIjoiZXhjZWwtamlyYSJ9" TargetMode="External"/><Relationship Id="rId24" Type="http://schemas.openxmlformats.org/officeDocument/2006/relationships/hyperlink" Target="https://wiley-global.atlassian.net/browse/CT-14022?atlOrigin=eyJpIjoiMjBhNWIzMmFjMjdiNGE1YzhhZTE4YmM0ZjA0MDM4ZWYiLCJwIjoiZXhjZWwtamlyYSJ9" TargetMode="External"/><Relationship Id="rId32" Type="http://schemas.openxmlformats.org/officeDocument/2006/relationships/hyperlink" Target="https://wiley-global.atlassian.net/browse/CT-13971?atlOrigin=eyJpIjoiMjBhNWIzMmFjMjdiNGE1YzhhZTE4YmM0ZjA0MDM4ZWYiLCJwIjoiZXhjZWwtamlyYSJ9" TargetMode="External"/><Relationship Id="rId37" Type="http://schemas.openxmlformats.org/officeDocument/2006/relationships/hyperlink" Target="https://wiley-global.atlassian.net/browse/CT-13905?atlOrigin=eyJpIjoiMjBhNWIzMmFjMjdiNGE1YzhhZTE4YmM0ZjA0MDM4ZWYiLCJwIjoiZXhjZWwtamlyYSJ9" TargetMode="External"/><Relationship Id="rId40" Type="http://schemas.openxmlformats.org/officeDocument/2006/relationships/hyperlink" Target="https://wiley-global.atlassian.net/browse/CT-13902?atlOrigin=eyJpIjoiMjBhNWIzMmFjMjdiNGE1YzhhZTE4YmM0ZjA0MDM4ZWYiLCJwIjoiZXhjZWwtamlyYSJ9" TargetMode="External"/><Relationship Id="rId5" Type="http://schemas.openxmlformats.org/officeDocument/2006/relationships/hyperlink" Target="https://wiley-global.atlassian.net/browse/CT-13758?atlOrigin=eyJpIjoiMjBhNWIzMmFjMjdiNGE1YzhhZTE4YmM0ZjA0MDM4ZWYiLCJwIjoiZXhjZWwtamlyYSJ9" TargetMode="External"/><Relationship Id="rId15" Type="http://schemas.openxmlformats.org/officeDocument/2006/relationships/hyperlink" Target="https://wiley-global.atlassian.net/browse/CT-13880?atlOrigin=eyJpIjoiMjBhNWIzMmFjMjdiNGE1YzhhZTE4YmM0ZjA0MDM4ZWYiLCJwIjoiZXhjZWwtamlyYSJ9" TargetMode="External"/><Relationship Id="rId23" Type="http://schemas.openxmlformats.org/officeDocument/2006/relationships/hyperlink" Target="https://wiley-global.atlassian.net/browse/CT-7447?atlOrigin=eyJpIjoiMjBhNWIzMmFjMjdiNGE1YzhhZTE4YmM0ZjA0MDM4ZWYiLCJwIjoiZXhjZWwtamlyYSJ9" TargetMode="External"/><Relationship Id="rId28" Type="http://schemas.openxmlformats.org/officeDocument/2006/relationships/hyperlink" Target="https://wiley-global.atlassian.net/browse/CT-13987?atlOrigin=eyJpIjoiMjBhNWIzMmFjMjdiNGE1YzhhZTE4YmM0ZjA0MDM4ZWYiLCJwIjoiZXhjZWwtamlyYSJ9" TargetMode="External"/><Relationship Id="rId36" Type="http://schemas.openxmlformats.org/officeDocument/2006/relationships/hyperlink" Target="https://wiley-global.atlassian.net/browse/CT-13909?atlOrigin=eyJpIjoiMjBhNWIzMmFjMjdiNGE1YzhhZTE4YmM0ZjA0MDM4ZWYiLCJwIjoiZXhjZWwtamlyYSJ9" TargetMode="External"/><Relationship Id="rId10" Type="http://schemas.openxmlformats.org/officeDocument/2006/relationships/hyperlink" Target="https://wiley-global.atlassian.net/browse/CT-14057?atlOrigin=eyJpIjoiMjBhNWIzMmFjMjdiNGE1YzhhZTE4YmM0ZjA0MDM4ZWYiLCJwIjoiZXhjZWwtamlyYSJ9" TargetMode="External"/><Relationship Id="rId19" Type="http://schemas.openxmlformats.org/officeDocument/2006/relationships/hyperlink" Target="https://wiley-global.atlassian.net/browse/CT-13865?atlOrigin=eyJpIjoiMjBhNWIzMmFjMjdiNGE1YzhhZTE4YmM0ZjA0MDM4ZWYiLCJwIjoiZXhjZWwtamlyYSJ9" TargetMode="External"/><Relationship Id="rId31" Type="http://schemas.openxmlformats.org/officeDocument/2006/relationships/hyperlink" Target="https://wiley-global.atlassian.net/browse/CT-13981?atlOrigin=eyJpIjoiMjBhNWIzMmFjMjdiNGE1YzhhZTE4YmM0ZjA0MDM4ZWYiLCJwIjoiZXhjZWwtamlyYSJ9" TargetMode="External"/><Relationship Id="rId4" Type="http://schemas.openxmlformats.org/officeDocument/2006/relationships/hyperlink" Target="https://wiley-global.atlassian.net/browse/CT-13824?atlOrigin=eyJpIjoiMjBhNWIzMmFjMjdiNGE1YzhhZTE4YmM0ZjA0MDM4ZWYiLCJwIjoiZXhjZWwtamlyYSJ9" TargetMode="External"/><Relationship Id="rId9" Type="http://schemas.openxmlformats.org/officeDocument/2006/relationships/hyperlink" Target="https://wiley-global.atlassian.net/browse/CT-14058?atlOrigin=eyJpIjoiMjBhNWIzMmFjMjdiNGE1YzhhZTE4YmM0ZjA0MDM4ZWYiLCJwIjoiZXhjZWwtamlyYSJ9" TargetMode="External"/><Relationship Id="rId14" Type="http://schemas.openxmlformats.org/officeDocument/2006/relationships/hyperlink" Target="https://wiley-global.atlassian.net/browse/CT-13907?atlOrigin=eyJpIjoiMjBhNWIzMmFjMjdiNGE1YzhhZTE4YmM0ZjA0MDM4ZWYiLCJwIjoiZXhjZWwtamlyYSJ9" TargetMode="External"/><Relationship Id="rId22" Type="http://schemas.openxmlformats.org/officeDocument/2006/relationships/hyperlink" Target="https://wiley-global.atlassian.net/browse/CT-12556?atlOrigin=eyJpIjoiMjBhNWIzMmFjMjdiNGE1YzhhZTE4YmM0ZjA0MDM4ZWYiLCJwIjoiZXhjZWwtamlyYSJ9" TargetMode="External"/><Relationship Id="rId27" Type="http://schemas.openxmlformats.org/officeDocument/2006/relationships/hyperlink" Target="https://wiley-global.atlassian.net/browse/CT-13988?atlOrigin=eyJpIjoiMjBhNWIzMmFjMjdiNGE1YzhhZTE4YmM0ZjA0MDM4ZWYiLCJwIjoiZXhjZWwtamlyYSJ9" TargetMode="External"/><Relationship Id="rId30" Type="http://schemas.openxmlformats.org/officeDocument/2006/relationships/hyperlink" Target="https://wiley-global.atlassian.net/browse/CT-13983?atlOrigin=eyJpIjoiMjBhNWIzMmFjMjdiNGE1YzhhZTE4YmM0ZjA0MDM4ZWYiLCJwIjoiZXhjZWwtamlyYSJ9" TargetMode="External"/><Relationship Id="rId35" Type="http://schemas.openxmlformats.org/officeDocument/2006/relationships/hyperlink" Target="https://wiley-global.atlassian.net/browse/CT-13910?atlOrigin=eyJpIjoiMjBhNWIzMmFjMjdiNGE1YzhhZTE4YmM0ZjA0MDM4ZWYiLCJwIjoiZXhjZWwtamlyYSJ9" TargetMode="External"/><Relationship Id="rId43" Type="http://schemas.openxmlformats.org/officeDocument/2006/relationships/hyperlink" Target="https://wiley-global.atlassian.net/browse/CT-13231?atlOrigin=eyJpIjoiMjBhNWIzMmFjMjdiNGE1YzhhZTE4YmM0ZjA0MDM4ZWYiLCJwIjoiZXhjZWwtamlyYSJ9" TargetMode="External"/><Relationship Id="rId8" Type="http://schemas.openxmlformats.org/officeDocument/2006/relationships/hyperlink" Target="https://wiley-global.atlassian.net/browse/CT-14060?atlOrigin=eyJpIjoiMjBhNWIzMmFjMjdiNGE1YzhhZTE4YmM0ZjA0MDM4ZWYiLCJwIjoiZXhjZWwtamlyYSJ9" TargetMode="External"/><Relationship Id="rId3" Type="http://schemas.openxmlformats.org/officeDocument/2006/relationships/hyperlink" Target="https://wiley-global.atlassian.net/browse/CT-13914?atlOrigin=eyJpIjoiMjBhNWIzMmFjMjdiNGE1YzhhZTE4YmM0ZjA0MDM4ZWYiLCJwIjoiZXhjZWwtamlyYSJ9" TargetMode="External"/><Relationship Id="rId12" Type="http://schemas.openxmlformats.org/officeDocument/2006/relationships/hyperlink" Target="https://wiley-global.atlassian.net/browse/CT-13982?atlOrigin=eyJpIjoiMjBhNWIzMmFjMjdiNGE1YzhhZTE4YmM0ZjA0MDM4ZWYiLCJwIjoiZXhjZWwtamlyYSJ9" TargetMode="External"/><Relationship Id="rId17" Type="http://schemas.openxmlformats.org/officeDocument/2006/relationships/hyperlink" Target="https://wiley-global.atlassian.net/browse/CT-13871?atlOrigin=eyJpIjoiMjBhNWIzMmFjMjdiNGE1YzhhZTE4YmM0ZjA0MDM4ZWYiLCJwIjoiZXhjZWwtamlyYSJ9" TargetMode="External"/><Relationship Id="rId25" Type="http://schemas.openxmlformats.org/officeDocument/2006/relationships/hyperlink" Target="https://wiley-global.atlassian.net/browse/CT-14011?atlOrigin=eyJpIjoiMjBhNWIzMmFjMjdiNGE1YzhhZTE4YmM0ZjA0MDM4ZWYiLCJwIjoiZXhjZWwtamlyYSJ9" TargetMode="External"/><Relationship Id="rId33" Type="http://schemas.openxmlformats.org/officeDocument/2006/relationships/hyperlink" Target="https://wiley-global.atlassian.net/browse/CT-13970?atlOrigin=eyJpIjoiMjBhNWIzMmFjMjdiNGE1YzhhZTE4YmM0ZjA0MDM4ZWYiLCJwIjoiZXhjZWwtamlyYSJ9" TargetMode="External"/><Relationship Id="rId38" Type="http://schemas.openxmlformats.org/officeDocument/2006/relationships/hyperlink" Target="https://wiley-global.atlassian.net/browse/CT-13904?atlOrigin=eyJpIjoiMjBhNWIzMmFjMjdiNGE1YzhhZTE4YmM0ZjA0MDM4ZWYiLCJwIjoiZXhjZWwtamlyYSJ9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s://wiley-global.atlassian.net/browse/CT-12731" TargetMode="External"/><Relationship Id="rId21" Type="http://schemas.openxmlformats.org/officeDocument/2006/relationships/hyperlink" Target="https://wiley-global.atlassian.net/browse/CT-12730" TargetMode="External"/><Relationship Id="rId42" Type="http://schemas.openxmlformats.org/officeDocument/2006/relationships/hyperlink" Target="https://wiley-global.atlassian.net/browse/CT-13008" TargetMode="External"/><Relationship Id="rId47" Type="http://schemas.openxmlformats.org/officeDocument/2006/relationships/hyperlink" Target="https://wiley-global.atlassian.net/browse/CT-12509" TargetMode="External"/><Relationship Id="rId63" Type="http://schemas.openxmlformats.org/officeDocument/2006/relationships/hyperlink" Target="https://wiley-global.atlassian.net/browse/CT-9370" TargetMode="External"/><Relationship Id="rId68" Type="http://schemas.openxmlformats.org/officeDocument/2006/relationships/hyperlink" Target="https://wiley-global.atlassian.net/browse/CT-12725" TargetMode="External"/><Relationship Id="rId84" Type="http://schemas.openxmlformats.org/officeDocument/2006/relationships/hyperlink" Target="https://wiley-global.atlassian.net/browse/CT-11577" TargetMode="External"/><Relationship Id="rId89" Type="http://schemas.openxmlformats.org/officeDocument/2006/relationships/hyperlink" Target="https://wiley-global.atlassian.net/browse/CT-12509" TargetMode="External"/><Relationship Id="rId16" Type="http://schemas.openxmlformats.org/officeDocument/2006/relationships/hyperlink" Target="https://wiley-global.atlassian.net/browse/CT-11994" TargetMode="External"/><Relationship Id="rId11" Type="http://schemas.openxmlformats.org/officeDocument/2006/relationships/hyperlink" Target="https://wiley-global.atlassian.net/browse/CT-12736" TargetMode="External"/><Relationship Id="rId32" Type="http://schemas.openxmlformats.org/officeDocument/2006/relationships/hyperlink" Target="https://wiley-global.atlassian.net/browse/CT-11934" TargetMode="External"/><Relationship Id="rId37" Type="http://schemas.openxmlformats.org/officeDocument/2006/relationships/hyperlink" Target="https://wiley-global.atlassian.net/browse/CT-11934" TargetMode="External"/><Relationship Id="rId53" Type="http://schemas.openxmlformats.org/officeDocument/2006/relationships/hyperlink" Target="https://wiley-global.atlassian.net/browse/CT-12670" TargetMode="External"/><Relationship Id="rId58" Type="http://schemas.openxmlformats.org/officeDocument/2006/relationships/hyperlink" Target="https://wiley-global.atlassian.net/browse/CT-13014" TargetMode="External"/><Relationship Id="rId74" Type="http://schemas.openxmlformats.org/officeDocument/2006/relationships/hyperlink" Target="https://wiley-global.atlassian.net/browse/CT-13070" TargetMode="External"/><Relationship Id="rId79" Type="http://schemas.openxmlformats.org/officeDocument/2006/relationships/hyperlink" Target="https://wiley-global.atlassian.net/browse/CT-12710" TargetMode="External"/><Relationship Id="rId102" Type="http://schemas.openxmlformats.org/officeDocument/2006/relationships/hyperlink" Target="https://wiley-global.atlassian.net/browse/CT-12670" TargetMode="External"/><Relationship Id="rId5" Type="http://schemas.openxmlformats.org/officeDocument/2006/relationships/hyperlink" Target="https://jira.wiley.com/browse/CT-12664" TargetMode="External"/><Relationship Id="rId90" Type="http://schemas.openxmlformats.org/officeDocument/2006/relationships/hyperlink" Target="https://wiley-global.atlassian.net/browse/CT-11936" TargetMode="External"/><Relationship Id="rId95" Type="http://schemas.openxmlformats.org/officeDocument/2006/relationships/hyperlink" Target="https://wiley-global.atlassian.net/browse/CT-12509" TargetMode="External"/><Relationship Id="rId22" Type="http://schemas.openxmlformats.org/officeDocument/2006/relationships/hyperlink" Target="https://wiley-global.atlassian.net/browse/CT-12737" TargetMode="External"/><Relationship Id="rId27" Type="http://schemas.openxmlformats.org/officeDocument/2006/relationships/hyperlink" Target="https://wiley-global.atlassian.net/browse/CT-12729" TargetMode="External"/><Relationship Id="rId43" Type="http://schemas.openxmlformats.org/officeDocument/2006/relationships/hyperlink" Target="https://wiley-global.atlassian.net/browse/CT-11273" TargetMode="External"/><Relationship Id="rId48" Type="http://schemas.openxmlformats.org/officeDocument/2006/relationships/hyperlink" Target="https://wiley-global.atlassian.net/browse/CT-12554" TargetMode="External"/><Relationship Id="rId64" Type="http://schemas.openxmlformats.org/officeDocument/2006/relationships/hyperlink" Target="https://wiley-global.atlassian.net/browse/CT-13063" TargetMode="External"/><Relationship Id="rId69" Type="http://schemas.openxmlformats.org/officeDocument/2006/relationships/hyperlink" Target="https://wiley-global.atlassian.net/browse/CT-12709" TargetMode="External"/><Relationship Id="rId80" Type="http://schemas.openxmlformats.org/officeDocument/2006/relationships/hyperlink" Target="https://wiley-global.atlassian.net/browse/CT-12695" TargetMode="External"/><Relationship Id="rId85" Type="http://schemas.openxmlformats.org/officeDocument/2006/relationships/hyperlink" Target="https://wiley-global.atlassian.net/browse/CT-11273" TargetMode="External"/><Relationship Id="rId12" Type="http://schemas.openxmlformats.org/officeDocument/2006/relationships/hyperlink" Target="https://wiley-global.atlassian.net/browse/CT-12733" TargetMode="External"/><Relationship Id="rId17" Type="http://schemas.openxmlformats.org/officeDocument/2006/relationships/hyperlink" Target="https://wiley-global.atlassian.net/browse/CT-11987" TargetMode="External"/><Relationship Id="rId25" Type="http://schemas.openxmlformats.org/officeDocument/2006/relationships/hyperlink" Target="https://wiley-global.atlassian.net/browse/CT-12732" TargetMode="External"/><Relationship Id="rId33" Type="http://schemas.openxmlformats.org/officeDocument/2006/relationships/hyperlink" Target="https://wiley-global.atlassian.net/browse/CT-11936" TargetMode="External"/><Relationship Id="rId38" Type="http://schemas.openxmlformats.org/officeDocument/2006/relationships/hyperlink" Target="https://wiley-global.atlassian.net/browse/CT-12509" TargetMode="External"/><Relationship Id="rId46" Type="http://schemas.openxmlformats.org/officeDocument/2006/relationships/hyperlink" Target="https://wiley-global.atlassian.net/browse/CT-12509" TargetMode="External"/><Relationship Id="rId59" Type="http://schemas.openxmlformats.org/officeDocument/2006/relationships/hyperlink" Target="https://wiley-global.atlassian.net/browse/CT-11273" TargetMode="External"/><Relationship Id="rId67" Type="http://schemas.openxmlformats.org/officeDocument/2006/relationships/hyperlink" Target="https://wiley-global.atlassian.net/browse/CT-12726" TargetMode="External"/><Relationship Id="rId103" Type="http://schemas.openxmlformats.org/officeDocument/2006/relationships/hyperlink" Target="https://wiley-global.atlassian.net/browse/CT-13031" TargetMode="External"/><Relationship Id="rId20" Type="http://schemas.openxmlformats.org/officeDocument/2006/relationships/hyperlink" Target="https://wiley-global.atlassian.net/browse/CT-12269" TargetMode="External"/><Relationship Id="rId41" Type="http://schemas.openxmlformats.org/officeDocument/2006/relationships/hyperlink" Target="https://wiley-global.atlassian.net/browse/CT-12554" TargetMode="External"/><Relationship Id="rId54" Type="http://schemas.openxmlformats.org/officeDocument/2006/relationships/hyperlink" Target="https://wiley-global.atlassian.net/browse/CT-11936" TargetMode="External"/><Relationship Id="rId62" Type="http://schemas.openxmlformats.org/officeDocument/2006/relationships/hyperlink" Target="https://wiley-global.atlassian.net/browse/CT-12157" TargetMode="External"/><Relationship Id="rId70" Type="http://schemas.openxmlformats.org/officeDocument/2006/relationships/hyperlink" Target="https://wiley-global.atlassian.net/browse/CT-12708" TargetMode="External"/><Relationship Id="rId75" Type="http://schemas.openxmlformats.org/officeDocument/2006/relationships/hyperlink" Target="https://wiley-global.atlassian.net/browse/CT-13069" TargetMode="External"/><Relationship Id="rId83" Type="http://schemas.openxmlformats.org/officeDocument/2006/relationships/hyperlink" Target="https://wiley-global.atlassian.net/browse/CT-11598" TargetMode="External"/><Relationship Id="rId88" Type="http://schemas.openxmlformats.org/officeDocument/2006/relationships/hyperlink" Target="https://wiley-global.atlassian.net/browse/CT-11934" TargetMode="External"/><Relationship Id="rId91" Type="http://schemas.openxmlformats.org/officeDocument/2006/relationships/hyperlink" Target="https://wiley-global.atlassian.net/browse/CT-11936" TargetMode="External"/><Relationship Id="rId96" Type="http://schemas.openxmlformats.org/officeDocument/2006/relationships/hyperlink" Target="https://wiley-global.atlassian.net/browse/CT-12670" TargetMode="External"/><Relationship Id="rId1" Type="http://schemas.openxmlformats.org/officeDocument/2006/relationships/hyperlink" Target="https://jira.wiley.com/browse/CT-12681" TargetMode="External"/><Relationship Id="rId6" Type="http://schemas.openxmlformats.org/officeDocument/2006/relationships/hyperlink" Target="https://jira.wiley.com/browse/CT-12575" TargetMode="External"/><Relationship Id="rId15" Type="http://schemas.openxmlformats.org/officeDocument/2006/relationships/hyperlink" Target="https://wiley-global.atlassian.net/browse/CT-12042" TargetMode="External"/><Relationship Id="rId23" Type="http://schemas.openxmlformats.org/officeDocument/2006/relationships/hyperlink" Target="https://wiley-global.atlassian.net/browse/CT-12735" TargetMode="External"/><Relationship Id="rId28" Type="http://schemas.openxmlformats.org/officeDocument/2006/relationships/hyperlink" Target="https://wiley-global.atlassian.net/browse/CT-12708" TargetMode="External"/><Relationship Id="rId36" Type="http://schemas.openxmlformats.org/officeDocument/2006/relationships/hyperlink" Target="https://wiley-global.atlassian.net/browse/CT-12509" TargetMode="External"/><Relationship Id="rId49" Type="http://schemas.openxmlformats.org/officeDocument/2006/relationships/hyperlink" Target="https://wiley-global.atlassian.net/browse/CT-12554" TargetMode="External"/><Relationship Id="rId57" Type="http://schemas.openxmlformats.org/officeDocument/2006/relationships/hyperlink" Target="https://wiley-global.atlassian.net/browse/CT-12509" TargetMode="External"/><Relationship Id="rId10" Type="http://schemas.openxmlformats.org/officeDocument/2006/relationships/hyperlink" Target="https://wiley-global.atlassian.net/browse/CT-12739" TargetMode="External"/><Relationship Id="rId31" Type="http://schemas.openxmlformats.org/officeDocument/2006/relationships/hyperlink" Target="https://wiley-global.atlassian.net/browse/CT-12566" TargetMode="External"/><Relationship Id="rId44" Type="http://schemas.openxmlformats.org/officeDocument/2006/relationships/hyperlink" Target="https://wiley-global.atlassian.net/browse/CT-11273" TargetMode="External"/><Relationship Id="rId52" Type="http://schemas.openxmlformats.org/officeDocument/2006/relationships/hyperlink" Target="https://wiley-global.atlassian.net/browse/CT-12509" TargetMode="External"/><Relationship Id="rId60" Type="http://schemas.openxmlformats.org/officeDocument/2006/relationships/hyperlink" Target="https://wiley-global.atlassian.net/browse/CT-11273" TargetMode="External"/><Relationship Id="rId65" Type="http://schemas.openxmlformats.org/officeDocument/2006/relationships/hyperlink" Target="https://wiley-global.atlassian.net/browse/CT-13034" TargetMode="External"/><Relationship Id="rId73" Type="http://schemas.openxmlformats.org/officeDocument/2006/relationships/hyperlink" Target="https://wiley-global.atlassian.net/browse/CT-12381" TargetMode="External"/><Relationship Id="rId78" Type="http://schemas.openxmlformats.org/officeDocument/2006/relationships/hyperlink" Target="https://wiley-global.atlassian.net/browse/CT-13007" TargetMode="External"/><Relationship Id="rId81" Type="http://schemas.openxmlformats.org/officeDocument/2006/relationships/hyperlink" Target="https://wiley-global.atlassian.net/browse/CT-12159" TargetMode="External"/><Relationship Id="rId86" Type="http://schemas.openxmlformats.org/officeDocument/2006/relationships/hyperlink" Target="https://wiley-global.atlassian.net/browse/CT-11273" TargetMode="External"/><Relationship Id="rId94" Type="http://schemas.openxmlformats.org/officeDocument/2006/relationships/hyperlink" Target="https://wiley-global.atlassian.net/browse/CT-12509" TargetMode="External"/><Relationship Id="rId99" Type="http://schemas.openxmlformats.org/officeDocument/2006/relationships/hyperlink" Target="https://wiley-global.atlassian.net/browse/CT-12670" TargetMode="External"/><Relationship Id="rId101" Type="http://schemas.openxmlformats.org/officeDocument/2006/relationships/hyperlink" Target="https://wiley-global.atlassian.net/browse/CT-11940" TargetMode="External"/><Relationship Id="rId4" Type="http://schemas.openxmlformats.org/officeDocument/2006/relationships/hyperlink" Target="https://jira.wiley.com/browse/CT-12680" TargetMode="External"/><Relationship Id="rId9" Type="http://schemas.openxmlformats.org/officeDocument/2006/relationships/hyperlink" Target="https://jira.wiley.com/browse/CT-11995" TargetMode="External"/><Relationship Id="rId13" Type="http://schemas.openxmlformats.org/officeDocument/2006/relationships/hyperlink" Target="https://wiley-global.atlassian.net/browse/CT-12722" TargetMode="External"/><Relationship Id="rId18" Type="http://schemas.openxmlformats.org/officeDocument/2006/relationships/hyperlink" Target="https://wiley-global.atlassian.net/browse/CT-11736" TargetMode="External"/><Relationship Id="rId39" Type="http://schemas.openxmlformats.org/officeDocument/2006/relationships/hyperlink" Target="https://wiley-global.atlassian.net/browse/CT-12509" TargetMode="External"/><Relationship Id="rId34" Type="http://schemas.openxmlformats.org/officeDocument/2006/relationships/hyperlink" Target="https://wiley-global.atlassian.net/browse/CT-12670" TargetMode="External"/><Relationship Id="rId50" Type="http://schemas.openxmlformats.org/officeDocument/2006/relationships/hyperlink" Target="https://wiley-global.atlassian.net/browse/CT-11936" TargetMode="External"/><Relationship Id="rId55" Type="http://schemas.openxmlformats.org/officeDocument/2006/relationships/hyperlink" Target="https://wiley-global.atlassian.net/browse/CT-12509" TargetMode="External"/><Relationship Id="rId76" Type="http://schemas.openxmlformats.org/officeDocument/2006/relationships/hyperlink" Target="https://wiley-global.atlassian.net/browse/CT-13033" TargetMode="External"/><Relationship Id="rId97" Type="http://schemas.openxmlformats.org/officeDocument/2006/relationships/hyperlink" Target="https://wiley-global.atlassian.net/browse/CT-12707" TargetMode="External"/><Relationship Id="rId104" Type="http://schemas.openxmlformats.org/officeDocument/2006/relationships/printerSettings" Target="../printerSettings/printerSettings1.bin"/><Relationship Id="rId7" Type="http://schemas.openxmlformats.org/officeDocument/2006/relationships/hyperlink" Target="https://jira.wiley.com/browse/CT-11993" TargetMode="External"/><Relationship Id="rId71" Type="http://schemas.openxmlformats.org/officeDocument/2006/relationships/hyperlink" Target="https://wiley-global.atlassian.net/browse/CT-12695" TargetMode="External"/><Relationship Id="rId92" Type="http://schemas.openxmlformats.org/officeDocument/2006/relationships/hyperlink" Target="https://wiley-global.atlassian.net/browse/CT-12670" TargetMode="External"/><Relationship Id="rId2" Type="http://schemas.openxmlformats.org/officeDocument/2006/relationships/hyperlink" Target="https://jira.wiley.com/browse/CT-12739" TargetMode="External"/><Relationship Id="rId29" Type="http://schemas.openxmlformats.org/officeDocument/2006/relationships/hyperlink" Target="https://wiley-global.atlassian.net/browse/CT-12568" TargetMode="External"/><Relationship Id="rId24" Type="http://schemas.openxmlformats.org/officeDocument/2006/relationships/hyperlink" Target="https://wiley-global.atlassian.net/browse/CT-12734" TargetMode="External"/><Relationship Id="rId40" Type="http://schemas.openxmlformats.org/officeDocument/2006/relationships/hyperlink" Target="https://wiley-global.atlassian.net/browse/CT-12509" TargetMode="External"/><Relationship Id="rId45" Type="http://schemas.openxmlformats.org/officeDocument/2006/relationships/hyperlink" Target="https://wiley-global.atlassian.net/browse/CT-11936" TargetMode="External"/><Relationship Id="rId66" Type="http://schemas.openxmlformats.org/officeDocument/2006/relationships/hyperlink" Target="https://wiley-global.atlassian.net/browse/CT-12896" TargetMode="External"/><Relationship Id="rId87" Type="http://schemas.openxmlformats.org/officeDocument/2006/relationships/hyperlink" Target="https://wiley-global.atlassian.net/browse/CT-11273" TargetMode="External"/><Relationship Id="rId61" Type="http://schemas.openxmlformats.org/officeDocument/2006/relationships/hyperlink" Target="https://wiley-global.atlassian.net/browse/CT-13031" TargetMode="External"/><Relationship Id="rId82" Type="http://schemas.openxmlformats.org/officeDocument/2006/relationships/hyperlink" Target="https://wiley-global.atlassian.net/browse/CT-12156" TargetMode="External"/><Relationship Id="rId19" Type="http://schemas.openxmlformats.org/officeDocument/2006/relationships/hyperlink" Target="https://wiley-global.atlassian.net/browse/CT-12261" TargetMode="External"/><Relationship Id="rId14" Type="http://schemas.openxmlformats.org/officeDocument/2006/relationships/hyperlink" Target="https://wiley-global.atlassian.net/browse/CT-12047" TargetMode="External"/><Relationship Id="rId30" Type="http://schemas.openxmlformats.org/officeDocument/2006/relationships/hyperlink" Target="https://wiley-global.atlassian.net/browse/CT-12567" TargetMode="External"/><Relationship Id="rId35" Type="http://schemas.openxmlformats.org/officeDocument/2006/relationships/hyperlink" Target="https://wiley-global.atlassian.net/browse/CT-12509" TargetMode="External"/><Relationship Id="rId56" Type="http://schemas.openxmlformats.org/officeDocument/2006/relationships/hyperlink" Target="https://wiley-global.atlassian.net/browse/CT-13014" TargetMode="External"/><Relationship Id="rId77" Type="http://schemas.openxmlformats.org/officeDocument/2006/relationships/hyperlink" Target="https://wiley-global.atlassian.net/browse/CT-13032" TargetMode="External"/><Relationship Id="rId100" Type="http://schemas.openxmlformats.org/officeDocument/2006/relationships/hyperlink" Target="https://wiley-global.atlassian.net/browse/CT-12670" TargetMode="External"/><Relationship Id="rId8" Type="http://schemas.openxmlformats.org/officeDocument/2006/relationships/hyperlink" Target="https://jira.wiley.com/browse/CT-11992" TargetMode="External"/><Relationship Id="rId51" Type="http://schemas.openxmlformats.org/officeDocument/2006/relationships/hyperlink" Target="https://wiley-global.atlassian.net/browse/CT-12509" TargetMode="External"/><Relationship Id="rId72" Type="http://schemas.openxmlformats.org/officeDocument/2006/relationships/hyperlink" Target="https://wiley-global.atlassian.net/browse/CT-12693" TargetMode="External"/><Relationship Id="rId93" Type="http://schemas.openxmlformats.org/officeDocument/2006/relationships/hyperlink" Target="https://wiley-global.atlassian.net/browse/CT-11934" TargetMode="External"/><Relationship Id="rId98" Type="http://schemas.openxmlformats.org/officeDocument/2006/relationships/hyperlink" Target="https://wiley-global.atlassian.net/browse/CT-12670" TargetMode="External"/><Relationship Id="rId3" Type="http://schemas.openxmlformats.org/officeDocument/2006/relationships/hyperlink" Target="https://jira.wiley.com/browse/CT-12738" TargetMode="External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https://jira.wiley.com/browse/CT-11966" TargetMode="External"/><Relationship Id="rId21" Type="http://schemas.openxmlformats.org/officeDocument/2006/relationships/hyperlink" Target="https://jira.wiley.com/browse/CT-12039" TargetMode="External"/><Relationship Id="rId42" Type="http://schemas.openxmlformats.org/officeDocument/2006/relationships/hyperlink" Target="https://wiley-global.atlassian.net/browse/CT-11931" TargetMode="External"/><Relationship Id="rId47" Type="http://schemas.openxmlformats.org/officeDocument/2006/relationships/hyperlink" Target="https://wiley-global.atlassian.net/browse/CT-11934" TargetMode="External"/><Relationship Id="rId63" Type="http://schemas.openxmlformats.org/officeDocument/2006/relationships/hyperlink" Target="https://wiley-global.atlassian.net/browse/CT-11930" TargetMode="External"/><Relationship Id="rId68" Type="http://schemas.openxmlformats.org/officeDocument/2006/relationships/hyperlink" Target="https://wiley-global.atlassian.net/browse/CT-11933" TargetMode="External"/><Relationship Id="rId84" Type="http://schemas.openxmlformats.org/officeDocument/2006/relationships/hyperlink" Target="https://wiley-global.atlassian.net/browse/CT-11934" TargetMode="External"/><Relationship Id="rId89" Type="http://schemas.openxmlformats.org/officeDocument/2006/relationships/hyperlink" Target="https://wiley-global.atlassian.net/browse/CT-11935" TargetMode="External"/><Relationship Id="rId16" Type="http://schemas.openxmlformats.org/officeDocument/2006/relationships/hyperlink" Target="https://jira.wiley.com/browse/CT-12048" TargetMode="External"/><Relationship Id="rId11" Type="http://schemas.openxmlformats.org/officeDocument/2006/relationships/hyperlink" Target="https://jira.wiley.com/browse/CT-12171" TargetMode="External"/><Relationship Id="rId32" Type="http://schemas.openxmlformats.org/officeDocument/2006/relationships/hyperlink" Target="https://wiley-global.atlassian.net/browse/CT-11930" TargetMode="External"/><Relationship Id="rId37" Type="http://schemas.openxmlformats.org/officeDocument/2006/relationships/hyperlink" Target="https://wiley-global.atlassian.net/browse/CT-11934" TargetMode="External"/><Relationship Id="rId53" Type="http://schemas.openxmlformats.org/officeDocument/2006/relationships/hyperlink" Target="https://wiley-global.atlassian.net/browse/CT-11932" TargetMode="External"/><Relationship Id="rId58" Type="http://schemas.openxmlformats.org/officeDocument/2006/relationships/hyperlink" Target="https://wiley-global.atlassian.net/browse/CT-12155" TargetMode="External"/><Relationship Id="rId74" Type="http://schemas.openxmlformats.org/officeDocument/2006/relationships/hyperlink" Target="https://wiley-global.atlassian.net/browse/CT-11930" TargetMode="External"/><Relationship Id="rId79" Type="http://schemas.openxmlformats.org/officeDocument/2006/relationships/hyperlink" Target="https://wiley-global.atlassian.net/browse/CT-11933" TargetMode="External"/><Relationship Id="rId5" Type="http://schemas.openxmlformats.org/officeDocument/2006/relationships/hyperlink" Target="https://jira.wiley.com/browse/CT-12021" TargetMode="External"/><Relationship Id="rId90" Type="http://schemas.openxmlformats.org/officeDocument/2006/relationships/hyperlink" Target="https://wiley-global.atlassian.net/browse/CT-11930" TargetMode="External"/><Relationship Id="rId22" Type="http://schemas.openxmlformats.org/officeDocument/2006/relationships/hyperlink" Target="https://jira.wiley.com/browse/CT-12038" TargetMode="External"/><Relationship Id="rId27" Type="http://schemas.openxmlformats.org/officeDocument/2006/relationships/hyperlink" Target="https://jira.wiley.com/browse/CT-11961" TargetMode="External"/><Relationship Id="rId43" Type="http://schemas.openxmlformats.org/officeDocument/2006/relationships/hyperlink" Target="https://wiley-global.atlassian.net/browse/CT-11484" TargetMode="External"/><Relationship Id="rId48" Type="http://schemas.openxmlformats.org/officeDocument/2006/relationships/hyperlink" Target="https://wiley-global.atlassian.net/browse/CT-11934" TargetMode="External"/><Relationship Id="rId64" Type="http://schemas.openxmlformats.org/officeDocument/2006/relationships/hyperlink" Target="https://wiley-global.atlassian.net/browse/CT-12043" TargetMode="External"/><Relationship Id="rId69" Type="http://schemas.openxmlformats.org/officeDocument/2006/relationships/hyperlink" Target="https://wiley-global.atlassian.net/browse/CT-11930" TargetMode="External"/><Relationship Id="rId8" Type="http://schemas.openxmlformats.org/officeDocument/2006/relationships/hyperlink" Target="https://jira.wiley.com/browse/CT-12018" TargetMode="External"/><Relationship Id="rId51" Type="http://schemas.openxmlformats.org/officeDocument/2006/relationships/hyperlink" Target="https://wiley-global.atlassian.net/browse/CT-12531" TargetMode="External"/><Relationship Id="rId72" Type="http://schemas.openxmlformats.org/officeDocument/2006/relationships/hyperlink" Target="https://wiley-global.atlassian.net/browse/CT-11930" TargetMode="External"/><Relationship Id="rId80" Type="http://schemas.openxmlformats.org/officeDocument/2006/relationships/hyperlink" Target="https://wiley-global.atlassian.net/browse/CT-11933" TargetMode="External"/><Relationship Id="rId85" Type="http://schemas.openxmlformats.org/officeDocument/2006/relationships/hyperlink" Target="https://wiley-global.atlassian.net/browse/CT-11937" TargetMode="External"/><Relationship Id="rId93" Type="http://schemas.openxmlformats.org/officeDocument/2006/relationships/hyperlink" Target="https://wiley-global.atlassian.net/browse/CT-11935" TargetMode="External"/><Relationship Id="rId3" Type="http://schemas.openxmlformats.org/officeDocument/2006/relationships/hyperlink" Target="https://jira.wiley.com/browse/CT-12023" TargetMode="External"/><Relationship Id="rId12" Type="http://schemas.openxmlformats.org/officeDocument/2006/relationships/hyperlink" Target="https://jira.wiley.com/browse/CT-12170" TargetMode="External"/><Relationship Id="rId17" Type="http://schemas.openxmlformats.org/officeDocument/2006/relationships/hyperlink" Target="https://jira.wiley.com/browse/CT-11962" TargetMode="External"/><Relationship Id="rId25" Type="http://schemas.openxmlformats.org/officeDocument/2006/relationships/hyperlink" Target="https://jira.wiley.com/browse/CT-11989" TargetMode="External"/><Relationship Id="rId33" Type="http://schemas.openxmlformats.org/officeDocument/2006/relationships/hyperlink" Target="https://wiley-global.atlassian.net/browse/CT-11930" TargetMode="External"/><Relationship Id="rId38" Type="http://schemas.openxmlformats.org/officeDocument/2006/relationships/hyperlink" Target="https://wiley-global.atlassian.net/browse/CT-11934" TargetMode="External"/><Relationship Id="rId46" Type="http://schemas.openxmlformats.org/officeDocument/2006/relationships/hyperlink" Target="https://wiley-global.atlassian.net/browse/CT-11930" TargetMode="External"/><Relationship Id="rId59" Type="http://schemas.openxmlformats.org/officeDocument/2006/relationships/hyperlink" Target="https://wiley-global.atlassian.net/browse/CT-11484" TargetMode="External"/><Relationship Id="rId67" Type="http://schemas.openxmlformats.org/officeDocument/2006/relationships/hyperlink" Target="https://wiley-global.atlassian.net/browse/CT-12323" TargetMode="External"/><Relationship Id="rId20" Type="http://schemas.openxmlformats.org/officeDocument/2006/relationships/hyperlink" Target="https://jira.wiley.com/browse/CT-12285" TargetMode="External"/><Relationship Id="rId41" Type="http://schemas.openxmlformats.org/officeDocument/2006/relationships/hyperlink" Target="https://wiley-global.atlassian.net/browse/CT-12155" TargetMode="External"/><Relationship Id="rId54" Type="http://schemas.openxmlformats.org/officeDocument/2006/relationships/hyperlink" Target="https://wiley-global.atlassian.net/browse/CT-11934" TargetMode="External"/><Relationship Id="rId62" Type="http://schemas.openxmlformats.org/officeDocument/2006/relationships/hyperlink" Target="https://wiley-global.atlassian.net/browse/CT-11930" TargetMode="External"/><Relationship Id="rId70" Type="http://schemas.openxmlformats.org/officeDocument/2006/relationships/hyperlink" Target="https://wiley-global.atlassian.net/browse/CT-11933" TargetMode="External"/><Relationship Id="rId75" Type="http://schemas.openxmlformats.org/officeDocument/2006/relationships/hyperlink" Target="https://wiley-global.atlassian.net/browse/CT-11930" TargetMode="External"/><Relationship Id="rId83" Type="http://schemas.openxmlformats.org/officeDocument/2006/relationships/hyperlink" Target="https://wiley-global.atlassian.net/browse/CT-12155" TargetMode="External"/><Relationship Id="rId88" Type="http://schemas.openxmlformats.org/officeDocument/2006/relationships/hyperlink" Target="https://wiley-global.atlassian.net/browse/CT-11930" TargetMode="External"/><Relationship Id="rId91" Type="http://schemas.openxmlformats.org/officeDocument/2006/relationships/hyperlink" Target="https://wiley-global.atlassian.net/browse/CT-11933" TargetMode="External"/><Relationship Id="rId1" Type="http://schemas.openxmlformats.org/officeDocument/2006/relationships/hyperlink" Target="https://jira.wiley.com/browse/CT-12167" TargetMode="External"/><Relationship Id="rId6" Type="http://schemas.openxmlformats.org/officeDocument/2006/relationships/hyperlink" Target="https://jira.wiley.com/browse/CT-12020" TargetMode="External"/><Relationship Id="rId15" Type="http://schemas.openxmlformats.org/officeDocument/2006/relationships/hyperlink" Target="https://jira.wiley.com/browse/CT-12149" TargetMode="External"/><Relationship Id="rId23" Type="http://schemas.openxmlformats.org/officeDocument/2006/relationships/hyperlink" Target="https://jira.wiley.com/browse/CT-11991" TargetMode="External"/><Relationship Id="rId28" Type="http://schemas.openxmlformats.org/officeDocument/2006/relationships/hyperlink" Target="https://jira.wiley.com/browse/CT-11960" TargetMode="External"/><Relationship Id="rId36" Type="http://schemas.openxmlformats.org/officeDocument/2006/relationships/hyperlink" Target="https://wiley-global.atlassian.net/browse/CT-11937" TargetMode="External"/><Relationship Id="rId49" Type="http://schemas.openxmlformats.org/officeDocument/2006/relationships/hyperlink" Target="https://wiley-global.atlassian.net/browse/CT-11936" TargetMode="External"/><Relationship Id="rId57" Type="http://schemas.openxmlformats.org/officeDocument/2006/relationships/hyperlink" Target="https://wiley-global.atlassian.net/browse/CT-11937" TargetMode="External"/><Relationship Id="rId10" Type="http://schemas.openxmlformats.org/officeDocument/2006/relationships/hyperlink" Target="https://jira.wiley.com/browse/CT-12172" TargetMode="External"/><Relationship Id="rId31" Type="http://schemas.openxmlformats.org/officeDocument/2006/relationships/hyperlink" Target="https://wiley-global.atlassian.net/browse/CT-11484" TargetMode="External"/><Relationship Id="rId44" Type="http://schemas.openxmlformats.org/officeDocument/2006/relationships/hyperlink" Target="https://wiley-global.atlassian.net/browse/CT-11484" TargetMode="External"/><Relationship Id="rId52" Type="http://schemas.openxmlformats.org/officeDocument/2006/relationships/hyperlink" Target="https://wiley-global.atlassian.net/browse/CT-11930" TargetMode="External"/><Relationship Id="rId60" Type="http://schemas.openxmlformats.org/officeDocument/2006/relationships/hyperlink" Target="https://wiley-global.atlassian.net/browse/CT-11930" TargetMode="External"/><Relationship Id="rId65" Type="http://schemas.openxmlformats.org/officeDocument/2006/relationships/hyperlink" Target="https://wiley-global.atlassian.net/browse/CT-12499" TargetMode="External"/><Relationship Id="rId73" Type="http://schemas.openxmlformats.org/officeDocument/2006/relationships/hyperlink" Target="https://wiley-global.atlassian.net/browse/CT-11930" TargetMode="External"/><Relationship Id="rId78" Type="http://schemas.openxmlformats.org/officeDocument/2006/relationships/hyperlink" Target="https://wiley-global.atlassian.net/browse/CT-11933" TargetMode="External"/><Relationship Id="rId81" Type="http://schemas.openxmlformats.org/officeDocument/2006/relationships/hyperlink" Target="https://wiley-global.atlassian.net/browse/CT-11930" TargetMode="External"/><Relationship Id="rId86" Type="http://schemas.openxmlformats.org/officeDocument/2006/relationships/hyperlink" Target="https://wiley-global.atlassian.net/browse/CT-11930" TargetMode="External"/><Relationship Id="rId4" Type="http://schemas.openxmlformats.org/officeDocument/2006/relationships/hyperlink" Target="https://jira.wiley.com/browse/CT-12022" TargetMode="External"/><Relationship Id="rId9" Type="http://schemas.openxmlformats.org/officeDocument/2006/relationships/hyperlink" Target="https://confluence.wiley.com/display/CTC/SIMT+Alert+Task+Trigger+TimelineSIP%20WorkflowSingle%20reassign%20ops/ce%20(SCA%20SI)Bulk%20transfer%20ops/ce%20(SCA%20SI)Single%20reassign%20ops/ce/screener%20(SIP)Bulk%20transfer%20ops/ce/screener%20(SIP)" TargetMode="External"/><Relationship Id="rId13" Type="http://schemas.openxmlformats.org/officeDocument/2006/relationships/hyperlink" Target="https://jira.wiley.com/browse/CT-12158" TargetMode="External"/><Relationship Id="rId18" Type="http://schemas.openxmlformats.org/officeDocument/2006/relationships/hyperlink" Target="https://jira.wiley.com/browse/CT-12417" TargetMode="External"/><Relationship Id="rId39" Type="http://schemas.openxmlformats.org/officeDocument/2006/relationships/hyperlink" Target="https://wiley-global.atlassian.net/browse/CT-12173" TargetMode="External"/><Relationship Id="rId34" Type="http://schemas.openxmlformats.org/officeDocument/2006/relationships/hyperlink" Target="https://wiley-global.atlassian.net/browse/CT-11930" TargetMode="External"/><Relationship Id="rId50" Type="http://schemas.openxmlformats.org/officeDocument/2006/relationships/hyperlink" Target="https://wiley-global.atlassian.net/browse/CT-11934" TargetMode="External"/><Relationship Id="rId55" Type="http://schemas.openxmlformats.org/officeDocument/2006/relationships/hyperlink" Target="https://wiley-global.atlassian.net/browse/CT-11934" TargetMode="External"/><Relationship Id="rId76" Type="http://schemas.openxmlformats.org/officeDocument/2006/relationships/hyperlink" Target="https://wiley-global.atlassian.net/browse/CT-11930" TargetMode="External"/><Relationship Id="rId7" Type="http://schemas.openxmlformats.org/officeDocument/2006/relationships/hyperlink" Target="https://jira.wiley.com/browse/CT-12019" TargetMode="External"/><Relationship Id="rId71" Type="http://schemas.openxmlformats.org/officeDocument/2006/relationships/hyperlink" Target="https://wiley-global.atlassian.net/browse/CT-11937" TargetMode="External"/><Relationship Id="rId92" Type="http://schemas.openxmlformats.org/officeDocument/2006/relationships/hyperlink" Target="https://wiley-global.atlassian.net/browse/CT-11930" TargetMode="External"/><Relationship Id="rId2" Type="http://schemas.openxmlformats.org/officeDocument/2006/relationships/hyperlink" Target="https://jira.wiley.com/browse/CT-12163" TargetMode="External"/><Relationship Id="rId29" Type="http://schemas.openxmlformats.org/officeDocument/2006/relationships/hyperlink" Target="https://wiley-global.atlassian.net/browse/CT-11484" TargetMode="External"/><Relationship Id="rId24" Type="http://schemas.openxmlformats.org/officeDocument/2006/relationships/hyperlink" Target="https://jira.wiley.com/browse/CT-11990" TargetMode="External"/><Relationship Id="rId40" Type="http://schemas.openxmlformats.org/officeDocument/2006/relationships/hyperlink" Target="https://wiley-global.atlassian.net/browse/CT-11934" TargetMode="External"/><Relationship Id="rId45" Type="http://schemas.openxmlformats.org/officeDocument/2006/relationships/hyperlink" Target="https://wiley-global.atlassian.net/browse/CT-11484" TargetMode="External"/><Relationship Id="rId66" Type="http://schemas.openxmlformats.org/officeDocument/2006/relationships/hyperlink" Target="https://wiley-global.atlassian.net/browse/CT-12321" TargetMode="External"/><Relationship Id="rId87" Type="http://schemas.openxmlformats.org/officeDocument/2006/relationships/hyperlink" Target="https://wiley-global.atlassian.net/browse/CT-11933" TargetMode="External"/><Relationship Id="rId61" Type="http://schemas.openxmlformats.org/officeDocument/2006/relationships/hyperlink" Target="https://wiley-global.atlassian.net/browse/CT-11930" TargetMode="External"/><Relationship Id="rId82" Type="http://schemas.openxmlformats.org/officeDocument/2006/relationships/hyperlink" Target="https://wiley-global.atlassian.net/browse/CT-12155" TargetMode="External"/><Relationship Id="rId19" Type="http://schemas.openxmlformats.org/officeDocument/2006/relationships/hyperlink" Target="https://jira.wiley.com/browse/CT-12362" TargetMode="External"/><Relationship Id="rId14" Type="http://schemas.openxmlformats.org/officeDocument/2006/relationships/hyperlink" Target="https://jira.wiley.com/browse/CT-12153" TargetMode="External"/><Relationship Id="rId30" Type="http://schemas.openxmlformats.org/officeDocument/2006/relationships/hyperlink" Target="https://wiley-global.atlassian.net/browse/CT-11930" TargetMode="External"/><Relationship Id="rId35" Type="http://schemas.openxmlformats.org/officeDocument/2006/relationships/hyperlink" Target="https://wiley-global.atlassian.net/browse/CT-11930" TargetMode="External"/><Relationship Id="rId56" Type="http://schemas.openxmlformats.org/officeDocument/2006/relationships/hyperlink" Target="https://wiley-global.atlassian.net/browse/CT-11934" TargetMode="External"/><Relationship Id="rId77" Type="http://schemas.openxmlformats.org/officeDocument/2006/relationships/hyperlink" Target="https://wiley-global.atlassian.net/browse/CT-11933" TargetMode="Externa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https://jira.wiley.com/browse/CT-11338" TargetMode="External"/><Relationship Id="rId18" Type="http://schemas.openxmlformats.org/officeDocument/2006/relationships/hyperlink" Target="https://jira.wiley.com/browse/CT-11319" TargetMode="External"/><Relationship Id="rId26" Type="http://schemas.openxmlformats.org/officeDocument/2006/relationships/hyperlink" Target="https://jira.wiley.com/browse/CT-11107" TargetMode="External"/><Relationship Id="rId39" Type="http://schemas.openxmlformats.org/officeDocument/2006/relationships/hyperlink" Target="https://jira.wiley.com/browse/CT-11278" TargetMode="External"/><Relationship Id="rId21" Type="http://schemas.openxmlformats.org/officeDocument/2006/relationships/hyperlink" Target="https://jira.wiley.com/browse/CT-11312" TargetMode="External"/><Relationship Id="rId34" Type="http://schemas.openxmlformats.org/officeDocument/2006/relationships/hyperlink" Target="https://jira.wiley.com/browse/CT-11331" TargetMode="External"/><Relationship Id="rId42" Type="http://schemas.openxmlformats.org/officeDocument/2006/relationships/hyperlink" Target="https://jira.wiley.com/browse/CT-11672" TargetMode="External"/><Relationship Id="rId47" Type="http://schemas.openxmlformats.org/officeDocument/2006/relationships/hyperlink" Target="https://jira.wiley.com/browse/CT-11038" TargetMode="External"/><Relationship Id="rId50" Type="http://schemas.openxmlformats.org/officeDocument/2006/relationships/hyperlink" Target="https://jira.wiley.com/browse/CT-10474" TargetMode="External"/><Relationship Id="rId55" Type="http://schemas.openxmlformats.org/officeDocument/2006/relationships/hyperlink" Target="https://jira.wiley.com/browse/CT-11342" TargetMode="External"/><Relationship Id="rId7" Type="http://schemas.openxmlformats.org/officeDocument/2006/relationships/hyperlink" Target="https://jira.wiley.com/browse/CT-11271" TargetMode="External"/><Relationship Id="rId2" Type="http://schemas.openxmlformats.org/officeDocument/2006/relationships/hyperlink" Target="https://jira.wiley.com/browse/CT-11332" TargetMode="External"/><Relationship Id="rId16" Type="http://schemas.openxmlformats.org/officeDocument/2006/relationships/hyperlink" Target="https://jira.wiley.com/browse/CT-11321" TargetMode="External"/><Relationship Id="rId29" Type="http://schemas.openxmlformats.org/officeDocument/2006/relationships/hyperlink" Target="https://jira.wiley.com/browse/CT-11104" TargetMode="External"/><Relationship Id="rId11" Type="http://schemas.openxmlformats.org/officeDocument/2006/relationships/hyperlink" Target="https://jira.wiley.com/browse/CT-11189" TargetMode="External"/><Relationship Id="rId24" Type="http://schemas.openxmlformats.org/officeDocument/2006/relationships/hyperlink" Target="https://jira.wiley.com/browse/CT-11301" TargetMode="External"/><Relationship Id="rId32" Type="http://schemas.openxmlformats.org/officeDocument/2006/relationships/hyperlink" Target="https://jira.wiley.com/browse/CT-11339" TargetMode="External"/><Relationship Id="rId37" Type="http://schemas.openxmlformats.org/officeDocument/2006/relationships/hyperlink" Target="https://jira.wiley.com/browse/CT-11322" TargetMode="External"/><Relationship Id="rId40" Type="http://schemas.openxmlformats.org/officeDocument/2006/relationships/hyperlink" Target="https://jira.wiley.com/browse/CT-11221" TargetMode="External"/><Relationship Id="rId45" Type="http://schemas.openxmlformats.org/officeDocument/2006/relationships/hyperlink" Target="https://jira.wiley.com/browse/CT-11220" TargetMode="External"/><Relationship Id="rId53" Type="http://schemas.openxmlformats.org/officeDocument/2006/relationships/hyperlink" Target="https://jira.wiley.com/browse/CT-11440" TargetMode="External"/><Relationship Id="rId5" Type="http://schemas.openxmlformats.org/officeDocument/2006/relationships/hyperlink" Target="https://jira.wiley.com/browse/CT-11287" TargetMode="External"/><Relationship Id="rId19" Type="http://schemas.openxmlformats.org/officeDocument/2006/relationships/hyperlink" Target="https://jira.wiley.com/browse/CT-11317" TargetMode="External"/><Relationship Id="rId4" Type="http://schemas.openxmlformats.org/officeDocument/2006/relationships/hyperlink" Target="https://jira.wiley.com/browse/CT-11305" TargetMode="External"/><Relationship Id="rId9" Type="http://schemas.openxmlformats.org/officeDocument/2006/relationships/hyperlink" Target="https://jira.wiley.com/browse/CT-11269" TargetMode="External"/><Relationship Id="rId14" Type="http://schemas.openxmlformats.org/officeDocument/2006/relationships/hyperlink" Target="https://jira.wiley.com/browse/CT-11334" TargetMode="External"/><Relationship Id="rId22" Type="http://schemas.openxmlformats.org/officeDocument/2006/relationships/hyperlink" Target="https://jira.wiley.com/browse/CT-11306" TargetMode="External"/><Relationship Id="rId27" Type="http://schemas.openxmlformats.org/officeDocument/2006/relationships/hyperlink" Target="https://jira.wiley.com/browse/CT-11106" TargetMode="External"/><Relationship Id="rId30" Type="http://schemas.openxmlformats.org/officeDocument/2006/relationships/hyperlink" Target="https://jira.wiley.com/browse/CT-11103" TargetMode="External"/><Relationship Id="rId35" Type="http://schemas.openxmlformats.org/officeDocument/2006/relationships/hyperlink" Target="https://jira.wiley.com/browse/CT-11324" TargetMode="External"/><Relationship Id="rId43" Type="http://schemas.openxmlformats.org/officeDocument/2006/relationships/hyperlink" Target="https://jira.wiley.com/browse/CT-11438" TargetMode="External"/><Relationship Id="rId48" Type="http://schemas.openxmlformats.org/officeDocument/2006/relationships/hyperlink" Target="https://jira.wiley.com/browse/CT-11037" TargetMode="External"/><Relationship Id="rId56" Type="http://schemas.openxmlformats.org/officeDocument/2006/relationships/hyperlink" Target="https://jira.wiley.com/browse/CT-11309" TargetMode="External"/><Relationship Id="rId8" Type="http://schemas.openxmlformats.org/officeDocument/2006/relationships/hyperlink" Target="https://jira.wiley.com/browse/CT-11270" TargetMode="External"/><Relationship Id="rId51" Type="http://schemas.openxmlformats.org/officeDocument/2006/relationships/hyperlink" Target="https://jira.wiley.com/browse/CT-11442" TargetMode="External"/><Relationship Id="rId3" Type="http://schemas.openxmlformats.org/officeDocument/2006/relationships/hyperlink" Target="https://jira.wiley.com/browse/CT-11311" TargetMode="External"/><Relationship Id="rId12" Type="http://schemas.openxmlformats.org/officeDocument/2006/relationships/hyperlink" Target="https://jira.wiley.com/browse/CT-10999" TargetMode="External"/><Relationship Id="rId17" Type="http://schemas.openxmlformats.org/officeDocument/2006/relationships/hyperlink" Target="https://jira.wiley.com/browse/CT-11320" TargetMode="External"/><Relationship Id="rId25" Type="http://schemas.openxmlformats.org/officeDocument/2006/relationships/hyperlink" Target="https://jira.wiley.com/browse/CT-11300" TargetMode="External"/><Relationship Id="rId33" Type="http://schemas.openxmlformats.org/officeDocument/2006/relationships/hyperlink" Target="https://jira.wiley.com/browse/CT-11335" TargetMode="External"/><Relationship Id="rId38" Type="http://schemas.openxmlformats.org/officeDocument/2006/relationships/hyperlink" Target="https://jira.wiley.com/browse/CT-11307" TargetMode="External"/><Relationship Id="rId46" Type="http://schemas.openxmlformats.org/officeDocument/2006/relationships/hyperlink" Target="https://jira.wiley.com/browse/CT-11078" TargetMode="External"/><Relationship Id="rId20" Type="http://schemas.openxmlformats.org/officeDocument/2006/relationships/hyperlink" Target="https://jira.wiley.com/browse/CT-11316" TargetMode="External"/><Relationship Id="rId41" Type="http://schemas.openxmlformats.org/officeDocument/2006/relationships/hyperlink" Target="https://jira.wiley.com/browse/CT-11736" TargetMode="External"/><Relationship Id="rId54" Type="http://schemas.openxmlformats.org/officeDocument/2006/relationships/hyperlink" Target="https://jira.wiley.com/browse/CT-11439" TargetMode="External"/><Relationship Id="rId1" Type="http://schemas.openxmlformats.org/officeDocument/2006/relationships/hyperlink" Target="https://jira.wiley.com/browse/CT-11337" TargetMode="External"/><Relationship Id="rId6" Type="http://schemas.openxmlformats.org/officeDocument/2006/relationships/hyperlink" Target="https://jira.wiley.com/browse/CT-11286" TargetMode="External"/><Relationship Id="rId15" Type="http://schemas.openxmlformats.org/officeDocument/2006/relationships/hyperlink" Target="https://jira.wiley.com/browse/CT-11333" TargetMode="External"/><Relationship Id="rId23" Type="http://schemas.openxmlformats.org/officeDocument/2006/relationships/hyperlink" Target="https://jira.wiley.com/browse/CT-11302" TargetMode="External"/><Relationship Id="rId28" Type="http://schemas.openxmlformats.org/officeDocument/2006/relationships/hyperlink" Target="https://jira.wiley.com/browse/CT-11105" TargetMode="External"/><Relationship Id="rId36" Type="http://schemas.openxmlformats.org/officeDocument/2006/relationships/hyperlink" Target="https://jira.wiley.com/browse/CT-11323" TargetMode="External"/><Relationship Id="rId49" Type="http://schemas.openxmlformats.org/officeDocument/2006/relationships/hyperlink" Target="https://jira.wiley.com/browse/CT-11036" TargetMode="External"/><Relationship Id="rId57" Type="http://schemas.openxmlformats.org/officeDocument/2006/relationships/hyperlink" Target="https://jira.wiley.com/browse/CT-11064" TargetMode="External"/><Relationship Id="rId10" Type="http://schemas.openxmlformats.org/officeDocument/2006/relationships/hyperlink" Target="https://jira.wiley.com/browse/CT-11190" TargetMode="External"/><Relationship Id="rId31" Type="http://schemas.openxmlformats.org/officeDocument/2006/relationships/hyperlink" Target="https://jira.wiley.com/browse/CT-11102" TargetMode="External"/><Relationship Id="rId44" Type="http://schemas.openxmlformats.org/officeDocument/2006/relationships/hyperlink" Target="https://jira.wiley.com/browse/CT-11437" TargetMode="External"/><Relationship Id="rId52" Type="http://schemas.openxmlformats.org/officeDocument/2006/relationships/hyperlink" Target="https://jira.wiley.com/browse/CT-11441" TargetMode="External"/></Relationships>
</file>

<file path=xl/worksheets/_rels/sheet8.xml.rels><?xml version="1.0" encoding="UTF-8" standalone="yes"?>
<Relationships xmlns="http://schemas.openxmlformats.org/package/2006/relationships"><Relationship Id="rId26" Type="http://schemas.openxmlformats.org/officeDocument/2006/relationships/hyperlink" Target="https://jira.wiley.com/browse/CT-10379" TargetMode="External"/><Relationship Id="rId21" Type="http://schemas.openxmlformats.org/officeDocument/2006/relationships/hyperlink" Target="https://jira.wiley.com/browse/CT-10399" TargetMode="External"/><Relationship Id="rId42" Type="http://schemas.openxmlformats.org/officeDocument/2006/relationships/hyperlink" Target="https://jira.wiley.com/browse/CT-10374" TargetMode="External"/><Relationship Id="rId47" Type="http://schemas.openxmlformats.org/officeDocument/2006/relationships/hyperlink" Target="https://jira.wiley.com/browse/CT-10341" TargetMode="External"/><Relationship Id="rId63" Type="http://schemas.openxmlformats.org/officeDocument/2006/relationships/hyperlink" Target="https://jira.wiley.com/browse/CT-10344" TargetMode="External"/><Relationship Id="rId68" Type="http://schemas.openxmlformats.org/officeDocument/2006/relationships/hyperlink" Target="https://jira.wiley.com/browse/CT-10433" TargetMode="External"/><Relationship Id="rId84" Type="http://schemas.openxmlformats.org/officeDocument/2006/relationships/hyperlink" Target="https://jira.wiley.com/browse/CT-10357" TargetMode="External"/><Relationship Id="rId89" Type="http://schemas.openxmlformats.org/officeDocument/2006/relationships/hyperlink" Target="https://jira.wiley.com/browse/CT-10266" TargetMode="External"/><Relationship Id="rId16" Type="http://schemas.openxmlformats.org/officeDocument/2006/relationships/hyperlink" Target="https://jira.wiley.com/browse/CT-10372" TargetMode="External"/><Relationship Id="rId11" Type="http://schemas.openxmlformats.org/officeDocument/2006/relationships/hyperlink" Target="https://jira.wiley.com/browse/CT-10405" TargetMode="External"/><Relationship Id="rId32" Type="http://schemas.openxmlformats.org/officeDocument/2006/relationships/hyperlink" Target="https://jira.wiley.com/browse/CT-10224" TargetMode="External"/><Relationship Id="rId37" Type="http://schemas.openxmlformats.org/officeDocument/2006/relationships/hyperlink" Target="https://jira.wiley.com/browse/CT-10427" TargetMode="External"/><Relationship Id="rId53" Type="http://schemas.openxmlformats.org/officeDocument/2006/relationships/hyperlink" Target="https://jira.wiley.com/browse/CT-10246" TargetMode="External"/><Relationship Id="rId58" Type="http://schemas.openxmlformats.org/officeDocument/2006/relationships/hyperlink" Target="https://jira.wiley.com/browse/CT-10424" TargetMode="External"/><Relationship Id="rId74" Type="http://schemas.openxmlformats.org/officeDocument/2006/relationships/hyperlink" Target="https://jira.wiley.com/browse/CT-10422" TargetMode="External"/><Relationship Id="rId79" Type="http://schemas.openxmlformats.org/officeDocument/2006/relationships/hyperlink" Target="https://jira.wiley.com/browse/CT-10363" TargetMode="External"/><Relationship Id="rId5" Type="http://schemas.openxmlformats.org/officeDocument/2006/relationships/hyperlink" Target="https://jira.wiley.com/browse/CT-10209" TargetMode="External"/><Relationship Id="rId90" Type="http://schemas.openxmlformats.org/officeDocument/2006/relationships/hyperlink" Target="https://jira.wiley.com/browse/CT-10265" TargetMode="External"/><Relationship Id="rId22" Type="http://schemas.openxmlformats.org/officeDocument/2006/relationships/hyperlink" Target="https://jira.wiley.com/browse/CT-10397" TargetMode="External"/><Relationship Id="rId27" Type="http://schemas.openxmlformats.org/officeDocument/2006/relationships/hyperlink" Target="https://jira.wiley.com/browse/CT-10371" TargetMode="External"/><Relationship Id="rId43" Type="http://schemas.openxmlformats.org/officeDocument/2006/relationships/hyperlink" Target="https://jira.wiley.com/browse/CT-10370" TargetMode="External"/><Relationship Id="rId48" Type="http://schemas.openxmlformats.org/officeDocument/2006/relationships/hyperlink" Target="https://jira.wiley.com/browse/CT-10340" TargetMode="External"/><Relationship Id="rId64" Type="http://schemas.openxmlformats.org/officeDocument/2006/relationships/hyperlink" Target="https://jira.wiley.com/browse/CT-9846" TargetMode="External"/><Relationship Id="rId69" Type="http://schemas.openxmlformats.org/officeDocument/2006/relationships/hyperlink" Target="https://jira.wiley.com/browse/CT-10432" TargetMode="External"/><Relationship Id="rId8" Type="http://schemas.openxmlformats.org/officeDocument/2006/relationships/hyperlink" Target="https://jira.wiley.com/browse/CT-10220" TargetMode="External"/><Relationship Id="rId51" Type="http://schemas.openxmlformats.org/officeDocument/2006/relationships/hyperlink" Target="https://jira.wiley.com/browse/CT-10271" TargetMode="External"/><Relationship Id="rId72" Type="http://schemas.openxmlformats.org/officeDocument/2006/relationships/hyperlink" Target="https://jira.wiley.com/browse/CT-10420" TargetMode="External"/><Relationship Id="rId80" Type="http://schemas.openxmlformats.org/officeDocument/2006/relationships/hyperlink" Target="https://jira.wiley.com/browse/CT-10361" TargetMode="External"/><Relationship Id="rId85" Type="http://schemas.openxmlformats.org/officeDocument/2006/relationships/hyperlink" Target="https://jira.wiley.com/browse/CT-10270" TargetMode="External"/><Relationship Id="rId93" Type="http://schemas.openxmlformats.org/officeDocument/2006/relationships/hyperlink" Target="https://jira.wiley.com/browse/CT-9370" TargetMode="External"/><Relationship Id="rId3" Type="http://schemas.openxmlformats.org/officeDocument/2006/relationships/hyperlink" Target="https://jira.wiley.com/browse/CT-10388" TargetMode="External"/><Relationship Id="rId12" Type="http://schemas.openxmlformats.org/officeDocument/2006/relationships/hyperlink" Target="https://jira.wiley.com/browse/CT-10403" TargetMode="External"/><Relationship Id="rId17" Type="http://schemas.openxmlformats.org/officeDocument/2006/relationships/hyperlink" Target="https://jira.wiley.com/browse/CT-10377" TargetMode="External"/><Relationship Id="rId25" Type="http://schemas.openxmlformats.org/officeDocument/2006/relationships/hyperlink" Target="https://jira.wiley.com/browse/CT-10384" TargetMode="External"/><Relationship Id="rId33" Type="http://schemas.openxmlformats.org/officeDocument/2006/relationships/hyperlink" Target="https://jira.wiley.com/browse/CT-10223" TargetMode="External"/><Relationship Id="rId38" Type="http://schemas.openxmlformats.org/officeDocument/2006/relationships/hyperlink" Target="https://jira.wiley.com/browse/CT-10425" TargetMode="External"/><Relationship Id="rId46" Type="http://schemas.openxmlformats.org/officeDocument/2006/relationships/hyperlink" Target="https://jira.wiley.com/browse/CT-10342" TargetMode="External"/><Relationship Id="rId59" Type="http://schemas.openxmlformats.org/officeDocument/2006/relationships/hyperlink" Target="https://jira.wiley.com/browse/CT-10401" TargetMode="External"/><Relationship Id="rId67" Type="http://schemas.openxmlformats.org/officeDocument/2006/relationships/hyperlink" Target="https://jira.wiley.com/browse/CT-10434" TargetMode="External"/><Relationship Id="rId20" Type="http://schemas.openxmlformats.org/officeDocument/2006/relationships/hyperlink" Target="https://jira.wiley.com/browse/CT-10400" TargetMode="External"/><Relationship Id="rId41" Type="http://schemas.openxmlformats.org/officeDocument/2006/relationships/hyperlink" Target="https://jira.wiley.com/browse/CT-10406" TargetMode="External"/><Relationship Id="rId54" Type="http://schemas.openxmlformats.org/officeDocument/2006/relationships/hyperlink" Target="https://jira.wiley.com/browse/CT-10245" TargetMode="External"/><Relationship Id="rId62" Type="http://schemas.openxmlformats.org/officeDocument/2006/relationships/hyperlink" Target="https://jira.wiley.com/browse/CT-10345" TargetMode="External"/><Relationship Id="rId70" Type="http://schemas.openxmlformats.org/officeDocument/2006/relationships/hyperlink" Target="https://jira.wiley.com/browse/CT-10431" TargetMode="External"/><Relationship Id="rId75" Type="http://schemas.openxmlformats.org/officeDocument/2006/relationships/hyperlink" Target="https://jira.wiley.com/browse/CT-9118" TargetMode="External"/><Relationship Id="rId83" Type="http://schemas.openxmlformats.org/officeDocument/2006/relationships/hyperlink" Target="https://jira.wiley.com/browse/CT-10358" TargetMode="External"/><Relationship Id="rId88" Type="http://schemas.openxmlformats.org/officeDocument/2006/relationships/hyperlink" Target="https://jira.wiley.com/browse/CT-10267" TargetMode="External"/><Relationship Id="rId91" Type="http://schemas.openxmlformats.org/officeDocument/2006/relationships/hyperlink" Target="https://jira.wiley.com/browse/CT-10264" TargetMode="External"/><Relationship Id="rId1" Type="http://schemas.openxmlformats.org/officeDocument/2006/relationships/hyperlink" Target="https://jira.wiley.com/browse/CT-9415" TargetMode="External"/><Relationship Id="rId6" Type="http://schemas.openxmlformats.org/officeDocument/2006/relationships/hyperlink" Target="https://jira.wiley.com/browse/CT-10381" TargetMode="External"/><Relationship Id="rId15" Type="http://schemas.openxmlformats.org/officeDocument/2006/relationships/hyperlink" Target="https://jira.wiley.com/browse/CT-10398" TargetMode="External"/><Relationship Id="rId23" Type="http://schemas.openxmlformats.org/officeDocument/2006/relationships/hyperlink" Target="https://jira.wiley.com/browse/CT-10392" TargetMode="External"/><Relationship Id="rId28" Type="http://schemas.openxmlformats.org/officeDocument/2006/relationships/hyperlink" Target="https://jira.wiley.com/browse/CT-10244" TargetMode="External"/><Relationship Id="rId36" Type="http://schemas.openxmlformats.org/officeDocument/2006/relationships/hyperlink" Target="https://jira.wiley.com/browse/CT-10149" TargetMode="External"/><Relationship Id="rId49" Type="http://schemas.openxmlformats.org/officeDocument/2006/relationships/hyperlink" Target="https://jira.wiley.com/browse/CT-10339" TargetMode="External"/><Relationship Id="rId57" Type="http://schemas.openxmlformats.org/officeDocument/2006/relationships/hyperlink" Target="https://jira.wiley.com/browse/CT-10426" TargetMode="External"/><Relationship Id="rId10" Type="http://schemas.openxmlformats.org/officeDocument/2006/relationships/hyperlink" Target="https://jira.wiley.com/browse/CT-9379" TargetMode="External"/><Relationship Id="rId31" Type="http://schemas.openxmlformats.org/officeDocument/2006/relationships/hyperlink" Target="https://jira.wiley.com/browse/CT-10225" TargetMode="External"/><Relationship Id="rId44" Type="http://schemas.openxmlformats.org/officeDocument/2006/relationships/hyperlink" Target="https://jira.wiley.com/browse/CT-10348" TargetMode="External"/><Relationship Id="rId52" Type="http://schemas.openxmlformats.org/officeDocument/2006/relationships/hyperlink" Target="https://jira.wiley.com/browse/CT-10247" TargetMode="External"/><Relationship Id="rId60" Type="http://schemas.openxmlformats.org/officeDocument/2006/relationships/hyperlink" Target="https://jira.wiley.com/browse/CT-10378" TargetMode="External"/><Relationship Id="rId65" Type="http://schemas.openxmlformats.org/officeDocument/2006/relationships/hyperlink" Target="https://jira.wiley.com/browse/CT-9759" TargetMode="External"/><Relationship Id="rId73" Type="http://schemas.openxmlformats.org/officeDocument/2006/relationships/hyperlink" Target="https://jira.wiley.com/browse/CT-10402" TargetMode="External"/><Relationship Id="rId78" Type="http://schemas.openxmlformats.org/officeDocument/2006/relationships/hyperlink" Target="https://jira.wiley.com/browse/CT-10364" TargetMode="External"/><Relationship Id="rId81" Type="http://schemas.openxmlformats.org/officeDocument/2006/relationships/hyperlink" Target="https://jira.wiley.com/browse/CT-10360" TargetMode="External"/><Relationship Id="rId86" Type="http://schemas.openxmlformats.org/officeDocument/2006/relationships/hyperlink" Target="https://jira.wiley.com/browse/CT-10269" TargetMode="External"/><Relationship Id="rId94" Type="http://schemas.openxmlformats.org/officeDocument/2006/relationships/printerSettings" Target="../printerSettings/printerSettings2.bin"/><Relationship Id="rId4" Type="http://schemas.openxmlformats.org/officeDocument/2006/relationships/hyperlink" Target="https://jira.wiley.com/browse/CT-10222" TargetMode="External"/><Relationship Id="rId9" Type="http://schemas.openxmlformats.org/officeDocument/2006/relationships/hyperlink" Target="https://jira.wiley.com/browse/CT-8932" TargetMode="External"/><Relationship Id="rId13" Type="http://schemas.openxmlformats.org/officeDocument/2006/relationships/hyperlink" Target="https://jira.wiley.com/browse/CT-10376" TargetMode="External"/><Relationship Id="rId18" Type="http://schemas.openxmlformats.org/officeDocument/2006/relationships/hyperlink" Target="https://jira.wiley.com/browse/CT-10436" TargetMode="External"/><Relationship Id="rId39" Type="http://schemas.openxmlformats.org/officeDocument/2006/relationships/hyperlink" Target="https://jira.wiley.com/browse/CT-10423" TargetMode="External"/><Relationship Id="rId34" Type="http://schemas.openxmlformats.org/officeDocument/2006/relationships/hyperlink" Target="https://jira.wiley.com/browse/CT-10221" TargetMode="External"/><Relationship Id="rId50" Type="http://schemas.openxmlformats.org/officeDocument/2006/relationships/hyperlink" Target="https://jira.wiley.com/browse/CT-10274" TargetMode="External"/><Relationship Id="rId55" Type="http://schemas.openxmlformats.org/officeDocument/2006/relationships/hyperlink" Target="https://jira.wiley.com/browse/CT-10198" TargetMode="External"/><Relationship Id="rId76" Type="http://schemas.openxmlformats.org/officeDocument/2006/relationships/hyperlink" Target="https://jira.wiley.com/browse/CT-10429" TargetMode="External"/><Relationship Id="rId7" Type="http://schemas.openxmlformats.org/officeDocument/2006/relationships/hyperlink" Target="https://jira.wiley.com/browse/CT-10382" TargetMode="External"/><Relationship Id="rId71" Type="http://schemas.openxmlformats.org/officeDocument/2006/relationships/hyperlink" Target="https://jira.wiley.com/browse/CT-10430" TargetMode="External"/><Relationship Id="rId92" Type="http://schemas.openxmlformats.org/officeDocument/2006/relationships/hyperlink" Target="https://jira.wiley.com/browse/CT-9758" TargetMode="External"/><Relationship Id="rId2" Type="http://schemas.openxmlformats.org/officeDocument/2006/relationships/hyperlink" Target="https://jira.wiley.com/browse/CT-10385" TargetMode="External"/><Relationship Id="rId29" Type="http://schemas.openxmlformats.org/officeDocument/2006/relationships/hyperlink" Target="https://jira.wiley.com/browse/CT-10243" TargetMode="External"/><Relationship Id="rId24" Type="http://schemas.openxmlformats.org/officeDocument/2006/relationships/hyperlink" Target="https://jira.wiley.com/browse/CT-10390" TargetMode="External"/><Relationship Id="rId40" Type="http://schemas.openxmlformats.org/officeDocument/2006/relationships/hyperlink" Target="https://jira.wiley.com/browse/CT-10421" TargetMode="External"/><Relationship Id="rId45" Type="http://schemas.openxmlformats.org/officeDocument/2006/relationships/hyperlink" Target="https://jira.wiley.com/browse/CT-10343" TargetMode="External"/><Relationship Id="rId66" Type="http://schemas.openxmlformats.org/officeDocument/2006/relationships/hyperlink" Target="https://jira.wiley.com/browse/CT-9541" TargetMode="External"/><Relationship Id="rId87" Type="http://schemas.openxmlformats.org/officeDocument/2006/relationships/hyperlink" Target="https://jira.wiley.com/browse/CT-10268" TargetMode="External"/><Relationship Id="rId61" Type="http://schemas.openxmlformats.org/officeDocument/2006/relationships/hyperlink" Target="https://jira.wiley.com/browse/CT-10355" TargetMode="External"/><Relationship Id="rId82" Type="http://schemas.openxmlformats.org/officeDocument/2006/relationships/hyperlink" Target="https://jira.wiley.com/browse/CT-10359" TargetMode="External"/><Relationship Id="rId19" Type="http://schemas.openxmlformats.org/officeDocument/2006/relationships/hyperlink" Target="https://jira.wiley.com/browse/CT-10415" TargetMode="External"/><Relationship Id="rId14" Type="http://schemas.openxmlformats.org/officeDocument/2006/relationships/hyperlink" Target="https://jira.wiley.com/browse/CT-10375" TargetMode="External"/><Relationship Id="rId30" Type="http://schemas.openxmlformats.org/officeDocument/2006/relationships/hyperlink" Target="https://jira.wiley.com/browse/CT-10226" TargetMode="External"/><Relationship Id="rId35" Type="http://schemas.openxmlformats.org/officeDocument/2006/relationships/hyperlink" Target="https://jira.wiley.com/browse/CT-10189" TargetMode="External"/><Relationship Id="rId56" Type="http://schemas.openxmlformats.org/officeDocument/2006/relationships/hyperlink" Target="https://jira.wiley.com/browse/CT-10435" TargetMode="External"/><Relationship Id="rId77" Type="http://schemas.openxmlformats.org/officeDocument/2006/relationships/hyperlink" Target="https://jira.wiley.com/browse/CT-10356" TargetMode="External"/></Relationships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hyperlink" Target="https://jira.wiley.com/browse/CT-9195" TargetMode="External"/><Relationship Id="rId18" Type="http://schemas.openxmlformats.org/officeDocument/2006/relationships/hyperlink" Target="https://jira.wiley.com/browse/CT-9410" TargetMode="External"/><Relationship Id="rId26" Type="http://schemas.openxmlformats.org/officeDocument/2006/relationships/hyperlink" Target="https://jira.wiley.com/browse/CT-9051" TargetMode="External"/><Relationship Id="rId39" Type="http://schemas.openxmlformats.org/officeDocument/2006/relationships/hyperlink" Target="https://jira.wiley.com/browse/CT-9415" TargetMode="External"/><Relationship Id="rId21" Type="http://schemas.openxmlformats.org/officeDocument/2006/relationships/hyperlink" Target="https://jira.wiley.com/browse/CT-9068" TargetMode="External"/><Relationship Id="rId34" Type="http://schemas.openxmlformats.org/officeDocument/2006/relationships/hyperlink" Target="https://jira.wiley.com/browse/CT-9433" TargetMode="External"/><Relationship Id="rId42" Type="http://schemas.openxmlformats.org/officeDocument/2006/relationships/hyperlink" Target="https://jira.wiley.com/browse/CT-9383" TargetMode="External"/><Relationship Id="rId47" Type="http://schemas.openxmlformats.org/officeDocument/2006/relationships/hyperlink" Target="https://jira.wiley.com/browse/CT-9352" TargetMode="External"/><Relationship Id="rId50" Type="http://schemas.openxmlformats.org/officeDocument/2006/relationships/hyperlink" Target="https://jira.wiley.com/browse/CT-9265" TargetMode="External"/><Relationship Id="rId55" Type="http://schemas.openxmlformats.org/officeDocument/2006/relationships/hyperlink" Target="https://jira.wiley.com/browse/CT-9358" TargetMode="External"/><Relationship Id="rId63" Type="http://schemas.openxmlformats.org/officeDocument/2006/relationships/hyperlink" Target="https://jira.wiley.com/browse/CT-8324" TargetMode="External"/><Relationship Id="rId7" Type="http://schemas.openxmlformats.org/officeDocument/2006/relationships/hyperlink" Target="https://jira.wiley.com/browse/CT-8936" TargetMode="External"/><Relationship Id="rId2" Type="http://schemas.openxmlformats.org/officeDocument/2006/relationships/hyperlink" Target="https://jira.wiley.com/browse/CT-9225" TargetMode="External"/><Relationship Id="rId16" Type="http://schemas.openxmlformats.org/officeDocument/2006/relationships/hyperlink" Target="https://jira.wiley.com/browse/CT-9379" TargetMode="External"/><Relationship Id="rId29" Type="http://schemas.openxmlformats.org/officeDocument/2006/relationships/hyperlink" Target="https://jira.wiley.com/browse/CT-9394" TargetMode="External"/><Relationship Id="rId11" Type="http://schemas.openxmlformats.org/officeDocument/2006/relationships/hyperlink" Target="https://jira.wiley.com/browse/CT-9223" TargetMode="External"/><Relationship Id="rId24" Type="http://schemas.openxmlformats.org/officeDocument/2006/relationships/hyperlink" Target="https://jira.wiley.com/browse/CT-9055" TargetMode="External"/><Relationship Id="rId32" Type="http://schemas.openxmlformats.org/officeDocument/2006/relationships/hyperlink" Target="https://jira.wiley.com/browse/CT-9509" TargetMode="External"/><Relationship Id="rId37" Type="http://schemas.openxmlformats.org/officeDocument/2006/relationships/hyperlink" Target="https://jira.wiley.com/browse/CT-9417" TargetMode="External"/><Relationship Id="rId40" Type="http://schemas.openxmlformats.org/officeDocument/2006/relationships/hyperlink" Target="https://jira.wiley.com/browse/CT-9414" TargetMode="External"/><Relationship Id="rId45" Type="http://schemas.openxmlformats.org/officeDocument/2006/relationships/hyperlink" Target="https://jira.wiley.com/browse/CT-9380" TargetMode="External"/><Relationship Id="rId53" Type="http://schemas.openxmlformats.org/officeDocument/2006/relationships/hyperlink" Target="https://jira.wiley.com/browse/CT-9391" TargetMode="External"/><Relationship Id="rId58" Type="http://schemas.openxmlformats.org/officeDocument/2006/relationships/hyperlink" Target="https://jira.wiley.com/browse/CT-9342" TargetMode="External"/><Relationship Id="rId5" Type="http://schemas.openxmlformats.org/officeDocument/2006/relationships/hyperlink" Target="https://jira.wiley.com/browse/CT-9407" TargetMode="External"/><Relationship Id="rId61" Type="http://schemas.openxmlformats.org/officeDocument/2006/relationships/hyperlink" Target="https://jira.wiley.com/browse/CT-8586" TargetMode="External"/><Relationship Id="rId19" Type="http://schemas.openxmlformats.org/officeDocument/2006/relationships/hyperlink" Target="https://jira.wiley.com/browse/CT-9409" TargetMode="External"/><Relationship Id="rId14" Type="http://schemas.openxmlformats.org/officeDocument/2006/relationships/hyperlink" Target="https://jira.wiley.com/browse/CT-9194" TargetMode="External"/><Relationship Id="rId22" Type="http://schemas.openxmlformats.org/officeDocument/2006/relationships/hyperlink" Target="https://jira.wiley.com/browse/CT-9066" TargetMode="External"/><Relationship Id="rId27" Type="http://schemas.openxmlformats.org/officeDocument/2006/relationships/hyperlink" Target="https://jira.wiley.com/browse/CT-9045" TargetMode="External"/><Relationship Id="rId30" Type="http://schemas.openxmlformats.org/officeDocument/2006/relationships/hyperlink" Target="https://jira.wiley.com/browse/CT-9722" TargetMode="External"/><Relationship Id="rId35" Type="http://schemas.openxmlformats.org/officeDocument/2006/relationships/hyperlink" Target="https://jira.wiley.com/browse/CT-9419" TargetMode="External"/><Relationship Id="rId43" Type="http://schemas.openxmlformats.org/officeDocument/2006/relationships/hyperlink" Target="https://jira.wiley.com/browse/CT-9382" TargetMode="External"/><Relationship Id="rId48" Type="http://schemas.openxmlformats.org/officeDocument/2006/relationships/hyperlink" Target="https://jira.wiley.com/browse/CT-9118" TargetMode="External"/><Relationship Id="rId56" Type="http://schemas.openxmlformats.org/officeDocument/2006/relationships/hyperlink" Target="https://jira.wiley.com/browse/CT-9344" TargetMode="External"/><Relationship Id="rId64" Type="http://schemas.openxmlformats.org/officeDocument/2006/relationships/printerSettings" Target="../printerSettings/printerSettings3.bin"/><Relationship Id="rId8" Type="http://schemas.openxmlformats.org/officeDocument/2006/relationships/hyperlink" Target="https://jira.wiley.com/browse/CT-9015" TargetMode="External"/><Relationship Id="rId51" Type="http://schemas.openxmlformats.org/officeDocument/2006/relationships/hyperlink" Target="https://jira.wiley.com/browse/CT-10025" TargetMode="External"/><Relationship Id="rId3" Type="http://schemas.openxmlformats.org/officeDocument/2006/relationships/hyperlink" Target="https://jira.wiley.com/browse/CT-9405" TargetMode="External"/><Relationship Id="rId12" Type="http://schemas.openxmlformats.org/officeDocument/2006/relationships/hyperlink" Target="https://jira.wiley.com/browse/CT-9290" TargetMode="External"/><Relationship Id="rId17" Type="http://schemas.openxmlformats.org/officeDocument/2006/relationships/hyperlink" Target="https://jira.wiley.com/browse/CT-7718" TargetMode="External"/><Relationship Id="rId25" Type="http://schemas.openxmlformats.org/officeDocument/2006/relationships/hyperlink" Target="https://jira.wiley.com/browse/CT-9054" TargetMode="External"/><Relationship Id="rId33" Type="http://schemas.openxmlformats.org/officeDocument/2006/relationships/hyperlink" Target="https://jira.wiley.com/browse/CT-9434" TargetMode="External"/><Relationship Id="rId38" Type="http://schemas.openxmlformats.org/officeDocument/2006/relationships/hyperlink" Target="https://jira.wiley.com/browse/CT-9416" TargetMode="External"/><Relationship Id="rId46" Type="http://schemas.openxmlformats.org/officeDocument/2006/relationships/hyperlink" Target="https://jira.wiley.com/browse/CT-9354" TargetMode="External"/><Relationship Id="rId59" Type="http://schemas.openxmlformats.org/officeDocument/2006/relationships/hyperlink" Target="https://jira.wiley.com/browse/CT-9341" TargetMode="External"/><Relationship Id="rId20" Type="http://schemas.openxmlformats.org/officeDocument/2006/relationships/hyperlink" Target="https://jira.wiley.com/browse/CT-9069" TargetMode="External"/><Relationship Id="rId41" Type="http://schemas.openxmlformats.org/officeDocument/2006/relationships/hyperlink" Target="https://jira.wiley.com/browse/CT-9413" TargetMode="External"/><Relationship Id="rId54" Type="http://schemas.openxmlformats.org/officeDocument/2006/relationships/hyperlink" Target="https://jira.wiley.com/browse/CT-9374" TargetMode="External"/><Relationship Id="rId62" Type="http://schemas.openxmlformats.org/officeDocument/2006/relationships/hyperlink" Target="https://jira.wiley.com/browse/CT-8428" TargetMode="External"/><Relationship Id="rId1" Type="http://schemas.openxmlformats.org/officeDocument/2006/relationships/hyperlink" Target="https://jira.wiley.com/browse/CT-9070" TargetMode="External"/><Relationship Id="rId6" Type="http://schemas.openxmlformats.org/officeDocument/2006/relationships/hyperlink" Target="https://jira.wiley.com/browse/CT-9291" TargetMode="External"/><Relationship Id="rId15" Type="http://schemas.openxmlformats.org/officeDocument/2006/relationships/hyperlink" Target="https://jira.wiley.com/browse/CT-8963" TargetMode="External"/><Relationship Id="rId23" Type="http://schemas.openxmlformats.org/officeDocument/2006/relationships/hyperlink" Target="https://jira.wiley.com/browse/CT-9061" TargetMode="External"/><Relationship Id="rId28" Type="http://schemas.openxmlformats.org/officeDocument/2006/relationships/hyperlink" Target="https://jira.wiley.com/browse/CT-9042" TargetMode="External"/><Relationship Id="rId36" Type="http://schemas.openxmlformats.org/officeDocument/2006/relationships/hyperlink" Target="https://jira.wiley.com/browse/CT-9418" TargetMode="External"/><Relationship Id="rId49" Type="http://schemas.openxmlformats.org/officeDocument/2006/relationships/hyperlink" Target="https://jira.wiley.com/browse/CT-9721" TargetMode="External"/><Relationship Id="rId57" Type="http://schemas.openxmlformats.org/officeDocument/2006/relationships/hyperlink" Target="https://jira.wiley.com/browse/CT-9343" TargetMode="External"/><Relationship Id="rId10" Type="http://schemas.openxmlformats.org/officeDocument/2006/relationships/hyperlink" Target="https://jira.wiley.com/browse/CT-8702" TargetMode="External"/><Relationship Id="rId31" Type="http://schemas.openxmlformats.org/officeDocument/2006/relationships/hyperlink" Target="https://jira.wiley.com/browse/CT-9606" TargetMode="External"/><Relationship Id="rId44" Type="http://schemas.openxmlformats.org/officeDocument/2006/relationships/hyperlink" Target="https://jira.wiley.com/browse/CT-9381" TargetMode="External"/><Relationship Id="rId52" Type="http://schemas.openxmlformats.org/officeDocument/2006/relationships/hyperlink" Target="https://jira.wiley.com/browse/CT-9561" TargetMode="External"/><Relationship Id="rId60" Type="http://schemas.openxmlformats.org/officeDocument/2006/relationships/hyperlink" Target="https://jira.wiley.com/browse/CT-9340" TargetMode="External"/><Relationship Id="rId4" Type="http://schemas.openxmlformats.org/officeDocument/2006/relationships/hyperlink" Target="https://jira.wiley.com/browse/CT-9404" TargetMode="External"/><Relationship Id="rId9" Type="http://schemas.openxmlformats.org/officeDocument/2006/relationships/hyperlink" Target="https://jira.wiley.com/browse/CT-8832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jira.wiley.com/browse/CT-8334" TargetMode="External"/><Relationship Id="rId13" Type="http://schemas.openxmlformats.org/officeDocument/2006/relationships/hyperlink" Target="https://jira.wiley.com/browse/CT-8342" TargetMode="External"/><Relationship Id="rId18" Type="http://schemas.openxmlformats.org/officeDocument/2006/relationships/hyperlink" Target="https://jira.wiley.com/browse/CT-8138" TargetMode="External"/><Relationship Id="rId26" Type="http://schemas.openxmlformats.org/officeDocument/2006/relationships/hyperlink" Target="https://jira.wiley.com/browse/CT-8391" TargetMode="External"/><Relationship Id="rId3" Type="http://schemas.openxmlformats.org/officeDocument/2006/relationships/hyperlink" Target="https://jira.wiley.com/browse/CT-8347" TargetMode="External"/><Relationship Id="rId21" Type="http://schemas.openxmlformats.org/officeDocument/2006/relationships/hyperlink" Target="https://jira.wiley.com/browse/CT-7707" TargetMode="External"/><Relationship Id="rId7" Type="http://schemas.openxmlformats.org/officeDocument/2006/relationships/hyperlink" Target="https://jira.wiley.com/browse/CT-8335" TargetMode="External"/><Relationship Id="rId12" Type="http://schemas.openxmlformats.org/officeDocument/2006/relationships/hyperlink" Target="https://jira.wiley.com/browse/CT-8343" TargetMode="External"/><Relationship Id="rId17" Type="http://schemas.openxmlformats.org/officeDocument/2006/relationships/hyperlink" Target="https://jira.wiley.com/browse/CT-8326" TargetMode="External"/><Relationship Id="rId25" Type="http://schemas.openxmlformats.org/officeDocument/2006/relationships/hyperlink" Target="https://jira.wiley.com/browse/CT-8345" TargetMode="External"/><Relationship Id="rId2" Type="http://schemas.openxmlformats.org/officeDocument/2006/relationships/hyperlink" Target="https://jira.wiley.com/browse/CT-8352" TargetMode="External"/><Relationship Id="rId16" Type="http://schemas.openxmlformats.org/officeDocument/2006/relationships/hyperlink" Target="https://jira.wiley.com/browse/CT-8344" TargetMode="External"/><Relationship Id="rId20" Type="http://schemas.openxmlformats.org/officeDocument/2006/relationships/hyperlink" Target="https://jira.wiley.com/browse/CT-8419" TargetMode="External"/><Relationship Id="rId1" Type="http://schemas.openxmlformats.org/officeDocument/2006/relationships/hyperlink" Target="https://jira.wiley.com/browse/CT-8433" TargetMode="External"/><Relationship Id="rId6" Type="http://schemas.openxmlformats.org/officeDocument/2006/relationships/hyperlink" Target="https://jira.wiley.com/browse/CT-8336" TargetMode="External"/><Relationship Id="rId11" Type="http://schemas.openxmlformats.org/officeDocument/2006/relationships/hyperlink" Target="https://jira.wiley.com/browse/CT-7893" TargetMode="External"/><Relationship Id="rId24" Type="http://schemas.openxmlformats.org/officeDocument/2006/relationships/hyperlink" Target="https://jira.wiley.com/browse/CT-7715" TargetMode="External"/><Relationship Id="rId5" Type="http://schemas.openxmlformats.org/officeDocument/2006/relationships/hyperlink" Target="https://jira.wiley.com/browse/CT-8340" TargetMode="External"/><Relationship Id="rId15" Type="http://schemas.openxmlformats.org/officeDocument/2006/relationships/hyperlink" Target="https://jira.wiley.com/browse/CT-7874" TargetMode="External"/><Relationship Id="rId23" Type="http://schemas.openxmlformats.org/officeDocument/2006/relationships/hyperlink" Target="https://jira.wiley.com/browse/CT-7873" TargetMode="External"/><Relationship Id="rId10" Type="http://schemas.openxmlformats.org/officeDocument/2006/relationships/hyperlink" Target="https://jira.wiley.com/browse/CT-7894" TargetMode="External"/><Relationship Id="rId19" Type="http://schemas.openxmlformats.org/officeDocument/2006/relationships/hyperlink" Target="https://jira.wiley.com/browse/CT-7875" TargetMode="External"/><Relationship Id="rId4" Type="http://schemas.openxmlformats.org/officeDocument/2006/relationships/hyperlink" Target="https://jira.wiley.com/browse/CT-8341" TargetMode="External"/><Relationship Id="rId9" Type="http://schemas.openxmlformats.org/officeDocument/2006/relationships/hyperlink" Target="https://jira.wiley.com/browse/CT-8332" TargetMode="External"/><Relationship Id="rId14" Type="http://schemas.openxmlformats.org/officeDocument/2006/relationships/hyperlink" Target="https://jira.wiley.com/browse/CT-8141" TargetMode="External"/><Relationship Id="rId22" Type="http://schemas.openxmlformats.org/officeDocument/2006/relationships/hyperlink" Target="https://jira.wiley.com/browse/CT-8333" TargetMode="External"/><Relationship Id="rId27" Type="http://schemas.openxmlformats.org/officeDocument/2006/relationships/hyperlink" Target="https://jira.wiley.com/browse/CT-8139" TargetMode="External"/></Relationships>
</file>

<file path=xl/worksheets/_rels/sheet12.xml.rels><?xml version="1.0" encoding="UTF-8" standalone="yes"?>
<Relationships xmlns="http://schemas.openxmlformats.org/package/2006/relationships"><Relationship Id="rId13" Type="http://schemas.openxmlformats.org/officeDocument/2006/relationships/hyperlink" Target="https://jira.wiley.com/browse/CT-7711" TargetMode="External"/><Relationship Id="rId18" Type="http://schemas.openxmlformats.org/officeDocument/2006/relationships/hyperlink" Target="https://jira.wiley.com/browse/CT-7723" TargetMode="External"/><Relationship Id="rId26" Type="http://schemas.openxmlformats.org/officeDocument/2006/relationships/hyperlink" Target="https://jira.wiley.com/browse/CT-7597" TargetMode="External"/><Relationship Id="rId39" Type="http://schemas.openxmlformats.org/officeDocument/2006/relationships/hyperlink" Target="https://jira.wiley.com/browse/CT-7730" TargetMode="External"/><Relationship Id="rId21" Type="http://schemas.openxmlformats.org/officeDocument/2006/relationships/hyperlink" Target="https://jira.wiley.com/browse/CT-7825" TargetMode="External"/><Relationship Id="rId34" Type="http://schemas.openxmlformats.org/officeDocument/2006/relationships/hyperlink" Target="https://jira.wiley.com/browse/CT-7729" TargetMode="External"/><Relationship Id="rId7" Type="http://schemas.openxmlformats.org/officeDocument/2006/relationships/hyperlink" Target="https://jira.wiley.com/browse/CT-7706" TargetMode="External"/><Relationship Id="rId12" Type="http://schemas.openxmlformats.org/officeDocument/2006/relationships/hyperlink" Target="https://jira.wiley.com/browse/CT-7724" TargetMode="External"/><Relationship Id="rId17" Type="http://schemas.openxmlformats.org/officeDocument/2006/relationships/hyperlink" Target="https://jira.wiley.com/browse/CT-7804" TargetMode="External"/><Relationship Id="rId25" Type="http://schemas.openxmlformats.org/officeDocument/2006/relationships/hyperlink" Target="https://jira.wiley.com/browse/CT-7596" TargetMode="External"/><Relationship Id="rId33" Type="http://schemas.openxmlformats.org/officeDocument/2006/relationships/hyperlink" Target="https://jira.wiley.com/browse/CT-7333" TargetMode="External"/><Relationship Id="rId38" Type="http://schemas.openxmlformats.org/officeDocument/2006/relationships/hyperlink" Target="https://jira.wiley.com/browse/CT-7721" TargetMode="External"/><Relationship Id="rId2" Type="http://schemas.openxmlformats.org/officeDocument/2006/relationships/hyperlink" Target="https://jira.wiley.com/browse/CT-7728" TargetMode="External"/><Relationship Id="rId16" Type="http://schemas.openxmlformats.org/officeDocument/2006/relationships/hyperlink" Target="https://jira.wiley.com/browse/CT-7718" TargetMode="External"/><Relationship Id="rId20" Type="http://schemas.openxmlformats.org/officeDocument/2006/relationships/hyperlink" Target="https://jira.wiley.com/browse/CT-7471" TargetMode="External"/><Relationship Id="rId29" Type="http://schemas.openxmlformats.org/officeDocument/2006/relationships/hyperlink" Target="https://jira.wiley.com/browse/CT-7599" TargetMode="External"/><Relationship Id="rId1" Type="http://schemas.openxmlformats.org/officeDocument/2006/relationships/hyperlink" Target="https://jira.wiley.com/browse/CT-7727" TargetMode="External"/><Relationship Id="rId6" Type="http://schemas.openxmlformats.org/officeDocument/2006/relationships/hyperlink" Target="https://jira.wiley.com/browse/CT-7705" TargetMode="External"/><Relationship Id="rId11" Type="http://schemas.openxmlformats.org/officeDocument/2006/relationships/hyperlink" Target="https://jira.wiley.com/browse/CT-7720" TargetMode="External"/><Relationship Id="rId24" Type="http://schemas.openxmlformats.org/officeDocument/2006/relationships/hyperlink" Target="https://jira.wiley.com/browse/CT-7725" TargetMode="External"/><Relationship Id="rId32" Type="http://schemas.openxmlformats.org/officeDocument/2006/relationships/hyperlink" Target="https://jira.wiley.com/browse/CT-7872" TargetMode="External"/><Relationship Id="rId37" Type="http://schemas.openxmlformats.org/officeDocument/2006/relationships/hyperlink" Target="https://jira.wiley.com/browse/CT-7719" TargetMode="External"/><Relationship Id="rId40" Type="http://schemas.openxmlformats.org/officeDocument/2006/relationships/hyperlink" Target="https://jira.wiley.com/browse/CT-7826" TargetMode="External"/><Relationship Id="rId5" Type="http://schemas.openxmlformats.org/officeDocument/2006/relationships/hyperlink" Target="https://jira.wiley.com/browse/CT-7570" TargetMode="External"/><Relationship Id="rId15" Type="http://schemas.openxmlformats.org/officeDocument/2006/relationships/hyperlink" Target="https://jira.wiley.com/browse/CT-7715" TargetMode="External"/><Relationship Id="rId23" Type="http://schemas.openxmlformats.org/officeDocument/2006/relationships/hyperlink" Target="https://jira.wiley.com/browse/CT-7726" TargetMode="External"/><Relationship Id="rId28" Type="http://schemas.openxmlformats.org/officeDocument/2006/relationships/hyperlink" Target="https://jira.wiley.com/browse/CT-7598" TargetMode="External"/><Relationship Id="rId36" Type="http://schemas.openxmlformats.org/officeDocument/2006/relationships/hyperlink" Target="https://jira.wiley.com/browse/CT-7717" TargetMode="External"/><Relationship Id="rId10" Type="http://schemas.openxmlformats.org/officeDocument/2006/relationships/hyperlink" Target="https://jira.wiley.com/browse/CT-7716" TargetMode="External"/><Relationship Id="rId19" Type="http://schemas.openxmlformats.org/officeDocument/2006/relationships/hyperlink" Target="https://jira.wiley.com/browse/CT-7593" TargetMode="External"/><Relationship Id="rId31" Type="http://schemas.openxmlformats.org/officeDocument/2006/relationships/hyperlink" Target="https://jira.wiley.com/browse/CT-7871" TargetMode="External"/><Relationship Id="rId4" Type="http://schemas.openxmlformats.org/officeDocument/2006/relationships/hyperlink" Target="https://jira.wiley.com/browse/CT-7600" TargetMode="External"/><Relationship Id="rId9" Type="http://schemas.openxmlformats.org/officeDocument/2006/relationships/hyperlink" Target="https://jira.wiley.com/browse/CT-7712" TargetMode="External"/><Relationship Id="rId14" Type="http://schemas.openxmlformats.org/officeDocument/2006/relationships/hyperlink" Target="https://jira.wiley.com/browse/CT-7713" TargetMode="External"/><Relationship Id="rId22" Type="http://schemas.openxmlformats.org/officeDocument/2006/relationships/hyperlink" Target="https://jira.wiley.com/browse/CT-7903" TargetMode="External"/><Relationship Id="rId27" Type="http://schemas.openxmlformats.org/officeDocument/2006/relationships/hyperlink" Target="https://jira.wiley.com/browse/CT-7673" TargetMode="External"/><Relationship Id="rId30" Type="http://schemas.openxmlformats.org/officeDocument/2006/relationships/hyperlink" Target="https://jira.wiley.com/browse/CT-7870" TargetMode="External"/><Relationship Id="rId35" Type="http://schemas.openxmlformats.org/officeDocument/2006/relationships/hyperlink" Target="https://jira.wiley.com/browse/CT-7714" TargetMode="External"/><Relationship Id="rId8" Type="http://schemas.openxmlformats.org/officeDocument/2006/relationships/hyperlink" Target="https://jira.wiley.com/browse/CT-7709" TargetMode="External"/><Relationship Id="rId3" Type="http://schemas.openxmlformats.org/officeDocument/2006/relationships/hyperlink" Target="https://jira.wiley.com/browse/CT-759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0BBB9-C469-42E5-AF99-984CD9D7D931}">
  <sheetPr codeName="Sheet1"/>
  <dimension ref="A1:J25"/>
  <sheetViews>
    <sheetView workbookViewId="0">
      <selection activeCell="F13" sqref="F13"/>
    </sheetView>
  </sheetViews>
  <sheetFormatPr defaultRowHeight="14.1"/>
  <cols>
    <col min="1" max="1" width="9.375" bestFit="1" customWidth="1"/>
    <col min="2" max="2" width="9" bestFit="1" customWidth="1"/>
    <col min="3" max="3" width="76.875" customWidth="1"/>
    <col min="4" max="4" width="15.375" bestFit="1" customWidth="1"/>
    <col min="5" max="5" width="11" bestFit="1" customWidth="1"/>
    <col min="6" max="6" width="26.375" customWidth="1"/>
    <col min="9" max="9" width="15.375" bestFit="1" customWidth="1"/>
    <col min="10" max="10" width="14.375" bestFit="1" customWidth="1"/>
    <col min="11" max="11" width="8.37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0">
      <c r="A2" t="s">
        <v>7</v>
      </c>
      <c r="B2" s="238" t="s">
        <v>8</v>
      </c>
      <c r="C2" t="s">
        <v>9</v>
      </c>
      <c r="D2" t="s">
        <v>10</v>
      </c>
      <c r="E2" t="s">
        <v>11</v>
      </c>
      <c r="F2" t="s">
        <v>12</v>
      </c>
      <c r="I2" s="266"/>
      <c r="J2" s="266"/>
    </row>
    <row r="3" spans="1:10">
      <c r="A3" t="s">
        <v>7</v>
      </c>
      <c r="B3" s="238" t="s">
        <v>13</v>
      </c>
      <c r="C3" t="s">
        <v>14</v>
      </c>
      <c r="D3" t="s">
        <v>15</v>
      </c>
      <c r="E3" t="s">
        <v>11</v>
      </c>
      <c r="F3" t="s">
        <v>12</v>
      </c>
      <c r="I3" s="266"/>
      <c r="J3" s="266"/>
    </row>
    <row r="4" spans="1:10">
      <c r="A4" t="s">
        <v>7</v>
      </c>
      <c r="B4" s="238" t="s">
        <v>16</v>
      </c>
      <c r="C4" t="s">
        <v>17</v>
      </c>
      <c r="D4" t="s">
        <v>18</v>
      </c>
      <c r="E4" t="s">
        <v>11</v>
      </c>
      <c r="F4" t="s">
        <v>12</v>
      </c>
      <c r="I4" s="266"/>
      <c r="J4" s="266"/>
    </row>
    <row r="5" spans="1:10">
      <c r="A5" t="s">
        <v>7</v>
      </c>
      <c r="B5" s="238" t="s">
        <v>19</v>
      </c>
      <c r="C5" t="s">
        <v>20</v>
      </c>
      <c r="D5" t="s">
        <v>21</v>
      </c>
      <c r="E5" t="s">
        <v>22</v>
      </c>
      <c r="F5" t="s">
        <v>12</v>
      </c>
      <c r="I5" s="266"/>
      <c r="J5" s="266"/>
    </row>
    <row r="6" spans="1:10">
      <c r="A6" t="s">
        <v>7</v>
      </c>
      <c r="B6" s="238" t="s">
        <v>23</v>
      </c>
      <c r="C6" t="s">
        <v>24</v>
      </c>
      <c r="D6" t="s">
        <v>25</v>
      </c>
      <c r="E6" t="s">
        <v>26</v>
      </c>
      <c r="F6" t="s">
        <v>12</v>
      </c>
      <c r="I6" s="266"/>
      <c r="J6" s="266"/>
    </row>
    <row r="7" spans="1:10">
      <c r="A7" t="s">
        <v>7</v>
      </c>
      <c r="B7" s="238" t="s">
        <v>27</v>
      </c>
      <c r="C7" t="s">
        <v>28</v>
      </c>
      <c r="D7" t="s">
        <v>29</v>
      </c>
      <c r="E7" t="s">
        <v>22</v>
      </c>
      <c r="F7" t="s">
        <v>12</v>
      </c>
      <c r="I7" s="266"/>
      <c r="J7" s="266"/>
    </row>
    <row r="8" spans="1:10">
      <c r="A8" t="s">
        <v>7</v>
      </c>
      <c r="B8" s="238" t="s">
        <v>30</v>
      </c>
      <c r="C8" t="s">
        <v>31</v>
      </c>
      <c r="D8" t="s">
        <v>25</v>
      </c>
      <c r="E8" t="s">
        <v>26</v>
      </c>
      <c r="F8" t="s">
        <v>12</v>
      </c>
      <c r="I8" s="266"/>
      <c r="J8" s="266"/>
    </row>
    <row r="9" spans="1:10">
      <c r="A9" t="s">
        <v>32</v>
      </c>
      <c r="B9" s="238" t="s">
        <v>33</v>
      </c>
      <c r="C9" t="s">
        <v>34</v>
      </c>
      <c r="D9" t="s">
        <v>29</v>
      </c>
      <c r="E9" t="s">
        <v>35</v>
      </c>
      <c r="F9" t="s">
        <v>12</v>
      </c>
      <c r="I9" s="266"/>
      <c r="J9" s="266"/>
    </row>
    <row r="10" spans="1:10">
      <c r="A10" t="s">
        <v>32</v>
      </c>
      <c r="B10" s="238" t="s">
        <v>36</v>
      </c>
      <c r="C10" t="s">
        <v>37</v>
      </c>
      <c r="D10" t="s">
        <v>29</v>
      </c>
      <c r="E10" t="s">
        <v>22</v>
      </c>
      <c r="F10" t="s">
        <v>12</v>
      </c>
      <c r="I10" s="266"/>
      <c r="J10" s="266"/>
    </row>
    <row r="11" spans="1:10">
      <c r="A11" t="s">
        <v>7</v>
      </c>
      <c r="B11" s="238" t="s">
        <v>38</v>
      </c>
      <c r="C11" t="s">
        <v>39</v>
      </c>
      <c r="D11" t="s">
        <v>40</v>
      </c>
      <c r="E11" t="s">
        <v>22</v>
      </c>
      <c r="F11" t="s">
        <v>12</v>
      </c>
      <c r="I11" s="266"/>
      <c r="J11" s="266"/>
    </row>
    <row r="12" spans="1:10">
      <c r="A12" t="s">
        <v>32</v>
      </c>
      <c r="B12" s="238" t="s">
        <v>41</v>
      </c>
      <c r="C12" t="s">
        <v>42</v>
      </c>
      <c r="D12" t="s">
        <v>43</v>
      </c>
      <c r="E12" t="s">
        <v>22</v>
      </c>
      <c r="F12" t="s">
        <v>44</v>
      </c>
      <c r="I12" s="266"/>
      <c r="J12" s="266"/>
    </row>
    <row r="13" spans="1:10">
      <c r="A13" t="s">
        <v>32</v>
      </c>
      <c r="B13" s="238" t="s">
        <v>45</v>
      </c>
      <c r="C13" t="s">
        <v>46</v>
      </c>
      <c r="D13" t="s">
        <v>47</v>
      </c>
      <c r="E13" t="s">
        <v>26</v>
      </c>
      <c r="F13" t="s">
        <v>12</v>
      </c>
      <c r="I13" s="266"/>
      <c r="J13" s="266"/>
    </row>
    <row r="14" spans="1:10">
      <c r="A14" t="s">
        <v>32</v>
      </c>
      <c r="B14" s="238" t="s">
        <v>48</v>
      </c>
      <c r="C14" t="s">
        <v>49</v>
      </c>
      <c r="D14" t="s">
        <v>47</v>
      </c>
      <c r="E14" t="s">
        <v>22</v>
      </c>
      <c r="F14" t="s">
        <v>12</v>
      </c>
      <c r="I14" s="266"/>
      <c r="J14" s="266"/>
    </row>
    <row r="15" spans="1:10">
      <c r="B15" s="238"/>
      <c r="I15" s="266"/>
      <c r="J15" s="266"/>
    </row>
    <row r="16" spans="1:10">
      <c r="B16" s="238"/>
      <c r="I16" s="266"/>
      <c r="J16" s="266"/>
    </row>
    <row r="17" spans="2:10">
      <c r="B17" s="238"/>
      <c r="I17" s="266"/>
      <c r="J17" s="266"/>
    </row>
    <row r="18" spans="2:10">
      <c r="B18" s="238"/>
    </row>
    <row r="19" spans="2:10">
      <c r="B19" s="238"/>
    </row>
    <row r="20" spans="2:10">
      <c r="B20" s="238"/>
    </row>
    <row r="21" spans="2:10">
      <c r="B21" s="238"/>
    </row>
    <row r="22" spans="2:10">
      <c r="B22" s="238"/>
    </row>
    <row r="23" spans="2:10">
      <c r="B23" s="238"/>
    </row>
    <row r="24" spans="2:10">
      <c r="B24" s="238"/>
    </row>
    <row r="25" spans="2:10">
      <c r="B25" s="238"/>
    </row>
  </sheetData>
  <hyperlinks>
    <hyperlink ref="B2" r:id="rId1" xr:uid="{4A40686F-43CC-4CDB-88F2-2ECCFAC609FA}"/>
    <hyperlink ref="B3" r:id="rId2" xr:uid="{3F60E9ED-30A0-45B9-A30A-B547DEB3E8C1}"/>
    <hyperlink ref="B4" r:id="rId3" xr:uid="{30E81A11-F3F8-44D4-8AFD-BBE29B87DE9F}"/>
    <hyperlink ref="B5" r:id="rId4" xr:uid="{30994189-CAEF-4EDC-AB05-6E7A9457D2B8}"/>
    <hyperlink ref="B6" r:id="rId5" xr:uid="{8308820E-64EE-4057-9754-E060F2171E63}"/>
    <hyperlink ref="B7" r:id="rId6" xr:uid="{F4DD4AEF-6204-47A6-9ABF-298A6312B89C}"/>
    <hyperlink ref="B8" r:id="rId7" xr:uid="{585740A8-2E0C-4F49-8E80-5C77407A266D}"/>
    <hyperlink ref="B9" r:id="rId8" xr:uid="{DFB885DD-5DA9-4934-A076-B525B283BD3B}"/>
    <hyperlink ref="B10" r:id="rId9" xr:uid="{7D1D5D2C-89A0-405E-BDC8-3D67842A30D2}"/>
    <hyperlink ref="B11" r:id="rId10" xr:uid="{7733FF36-C910-476A-BB4B-BB85630A322B}"/>
    <hyperlink ref="B12" r:id="rId11" xr:uid="{2A69792D-A238-446D-9DF0-0652EDC60B70}"/>
    <hyperlink ref="B13" r:id="rId12" xr:uid="{8A4D5923-B202-47B8-8137-71167794B5C5}"/>
    <hyperlink ref="B14" r:id="rId13" xr:uid="{6A5827EB-9B7A-4518-8EC5-1DB13284C3F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773A9-A896-4E77-9426-BE16135F6C3E}">
  <sheetPr codeName="Sheet2"/>
  <dimension ref="B1:J27"/>
  <sheetViews>
    <sheetView topLeftCell="B1" workbookViewId="0">
      <selection activeCell="F31" sqref="F31"/>
    </sheetView>
  </sheetViews>
  <sheetFormatPr defaultRowHeight="14.1"/>
  <cols>
    <col min="2" max="2" width="10.375" bestFit="1" customWidth="1"/>
    <col min="3" max="3" width="19.875" bestFit="1" customWidth="1"/>
    <col min="5" max="5" width="23.375" customWidth="1"/>
    <col min="6" max="6" width="22.375" customWidth="1"/>
    <col min="7" max="7" width="19.375" customWidth="1"/>
    <col min="8" max="8" width="18.375" bestFit="1" customWidth="1"/>
    <col min="9" max="9" width="26.125" customWidth="1"/>
    <col min="10" max="10" width="18.375" customWidth="1"/>
  </cols>
  <sheetData>
    <row r="1" spans="2:10" ht="27.95">
      <c r="E1" s="190" t="s">
        <v>50</v>
      </c>
      <c r="F1" s="190" t="s">
        <v>51</v>
      </c>
      <c r="G1" s="190" t="s">
        <v>52</v>
      </c>
      <c r="H1" s="190" t="s">
        <v>53</v>
      </c>
      <c r="I1" s="190" t="s">
        <v>54</v>
      </c>
      <c r="J1" s="190" t="s">
        <v>55</v>
      </c>
    </row>
    <row r="2" spans="2:10">
      <c r="B2" s="1" t="s">
        <v>56</v>
      </c>
      <c r="C2" s="1" t="s">
        <v>57</v>
      </c>
      <c r="E2" s="191" t="s">
        <v>58</v>
      </c>
      <c r="F2" s="191" t="s">
        <v>59</v>
      </c>
      <c r="G2" s="191">
        <v>6</v>
      </c>
      <c r="H2" s="191">
        <v>57</v>
      </c>
      <c r="I2" s="191">
        <v>68</v>
      </c>
      <c r="J2" s="191">
        <v>18</v>
      </c>
    </row>
    <row r="3" spans="2:10">
      <c r="B3" s="1">
        <v>1</v>
      </c>
      <c r="C3" s="1" t="s">
        <v>60</v>
      </c>
      <c r="E3" s="191" t="s">
        <v>61</v>
      </c>
      <c r="F3" s="192" t="s">
        <v>62</v>
      </c>
      <c r="G3" s="192">
        <v>8</v>
      </c>
      <c r="H3" s="192">
        <v>175</v>
      </c>
      <c r="I3" s="192">
        <v>250</v>
      </c>
      <c r="J3" s="192">
        <v>56</v>
      </c>
    </row>
    <row r="4" spans="2:10">
      <c r="B4" s="1">
        <v>2</v>
      </c>
      <c r="C4" s="1" t="s">
        <v>63</v>
      </c>
      <c r="E4" s="191" t="s">
        <v>64</v>
      </c>
      <c r="F4" s="192" t="s">
        <v>65</v>
      </c>
      <c r="G4" s="192">
        <v>8</v>
      </c>
      <c r="H4" s="192">
        <v>105</v>
      </c>
      <c r="I4" s="192">
        <v>145</v>
      </c>
      <c r="J4" s="192">
        <v>28</v>
      </c>
    </row>
    <row r="5" spans="2:10">
      <c r="B5" s="1">
        <v>3</v>
      </c>
      <c r="C5" s="1" t="s">
        <v>66</v>
      </c>
      <c r="E5" s="191" t="s">
        <v>67</v>
      </c>
      <c r="F5" s="192" t="s">
        <v>68</v>
      </c>
      <c r="G5" s="192">
        <v>8</v>
      </c>
      <c r="H5" s="192">
        <v>129</v>
      </c>
      <c r="I5" s="192">
        <v>168</v>
      </c>
      <c r="J5" s="192">
        <v>55</v>
      </c>
    </row>
    <row r="6" spans="2:10">
      <c r="B6" s="1">
        <v>5</v>
      </c>
      <c r="C6" s="1" t="s">
        <v>69</v>
      </c>
      <c r="E6" s="191" t="s">
        <v>70</v>
      </c>
      <c r="F6" s="192" t="s">
        <v>71</v>
      </c>
      <c r="G6" s="192">
        <v>8</v>
      </c>
      <c r="H6" s="192">
        <v>73</v>
      </c>
      <c r="I6" s="192">
        <v>73</v>
      </c>
      <c r="J6" s="192">
        <v>36</v>
      </c>
    </row>
    <row r="7" spans="2:10">
      <c r="B7" s="1">
        <v>8</v>
      </c>
      <c r="C7" s="1" t="s">
        <v>72</v>
      </c>
      <c r="E7" s="191" t="s">
        <v>73</v>
      </c>
      <c r="F7" s="192" t="s">
        <v>74</v>
      </c>
      <c r="G7" s="192">
        <v>10</v>
      </c>
      <c r="H7" s="192">
        <v>100</v>
      </c>
      <c r="I7" s="192">
        <v>135</v>
      </c>
      <c r="J7" s="192">
        <v>16</v>
      </c>
    </row>
    <row r="8" spans="2:10">
      <c r="E8" s="1" t="s">
        <v>75</v>
      </c>
      <c r="F8" s="1" t="s">
        <v>76</v>
      </c>
      <c r="G8" s="200">
        <v>14</v>
      </c>
      <c r="H8" s="200">
        <v>0</v>
      </c>
      <c r="I8" s="200">
        <v>173</v>
      </c>
      <c r="J8" s="200">
        <v>5</v>
      </c>
    </row>
    <row r="9" spans="2:10">
      <c r="E9" s="1" t="s">
        <v>77</v>
      </c>
      <c r="F9" s="1" t="s">
        <v>78</v>
      </c>
      <c r="G9" s="200">
        <v>8</v>
      </c>
      <c r="H9" s="200">
        <v>0</v>
      </c>
      <c r="I9" s="200">
        <v>126</v>
      </c>
      <c r="J9" s="200">
        <v>6</v>
      </c>
    </row>
    <row r="10" spans="2:10">
      <c r="E10" s="1" t="s">
        <v>79</v>
      </c>
      <c r="F10" s="1" t="s">
        <v>80</v>
      </c>
      <c r="G10" s="1">
        <v>8</v>
      </c>
      <c r="H10" s="1">
        <v>40</v>
      </c>
      <c r="I10" s="1">
        <v>40</v>
      </c>
      <c r="J10" s="1">
        <v>13</v>
      </c>
    </row>
    <row r="11" spans="2:10">
      <c r="E11" s="1" t="s">
        <v>81</v>
      </c>
      <c r="F11" s="1" t="s">
        <v>82</v>
      </c>
      <c r="G11" s="1">
        <v>9</v>
      </c>
      <c r="H11" s="1">
        <v>0</v>
      </c>
      <c r="I11" s="1">
        <v>82</v>
      </c>
      <c r="J11" s="1">
        <v>0</v>
      </c>
    </row>
    <row r="12" spans="2:10">
      <c r="E12" s="1" t="s">
        <v>83</v>
      </c>
      <c r="F12" s="1" t="s">
        <v>84</v>
      </c>
      <c r="G12" s="1">
        <v>7</v>
      </c>
      <c r="H12" s="1">
        <v>0</v>
      </c>
      <c r="I12" s="1">
        <v>316</v>
      </c>
      <c r="J12" s="1">
        <v>11</v>
      </c>
    </row>
    <row r="13" spans="2:10">
      <c r="E13" s="1" t="s">
        <v>85</v>
      </c>
      <c r="F13" s="1" t="s">
        <v>86</v>
      </c>
      <c r="G13" s="1">
        <v>7</v>
      </c>
      <c r="H13" s="1">
        <v>0</v>
      </c>
      <c r="I13" s="1">
        <v>415</v>
      </c>
      <c r="J13" s="1">
        <v>20</v>
      </c>
    </row>
    <row r="14" spans="2:10">
      <c r="E14" s="1" t="s">
        <v>87</v>
      </c>
      <c r="F14" s="1" t="s">
        <v>88</v>
      </c>
      <c r="G14" s="1">
        <v>11</v>
      </c>
      <c r="H14" s="1">
        <v>14</v>
      </c>
      <c r="I14" s="1">
        <v>358</v>
      </c>
      <c r="J14" s="1">
        <v>25</v>
      </c>
    </row>
    <row r="15" spans="2:10">
      <c r="E15" s="1" t="s">
        <v>89</v>
      </c>
      <c r="F15" s="1" t="s">
        <v>90</v>
      </c>
      <c r="G15" s="1">
        <v>9</v>
      </c>
      <c r="H15" s="1">
        <v>5</v>
      </c>
      <c r="I15" s="1">
        <v>93</v>
      </c>
      <c r="J15" s="1">
        <v>5</v>
      </c>
    </row>
    <row r="16" spans="2:10">
      <c r="E16" s="6" t="s">
        <v>91</v>
      </c>
      <c r="F16" s="6" t="s">
        <v>92</v>
      </c>
      <c r="G16" s="6">
        <v>10</v>
      </c>
      <c r="H16" s="6">
        <v>19</v>
      </c>
      <c r="I16" s="6">
        <v>112</v>
      </c>
      <c r="J16" s="6">
        <v>18</v>
      </c>
    </row>
    <row r="17" spans="5:10">
      <c r="E17" s="65" t="s">
        <v>93</v>
      </c>
      <c r="F17" s="65" t="s">
        <v>94</v>
      </c>
      <c r="G17" s="65">
        <v>9</v>
      </c>
      <c r="H17" s="65">
        <v>49</v>
      </c>
      <c r="I17" s="65">
        <v>57</v>
      </c>
      <c r="J17" s="65">
        <v>2</v>
      </c>
    </row>
    <row r="18" spans="5:10">
      <c r="E18" s="65" t="s">
        <v>95</v>
      </c>
      <c r="F18" s="65" t="s">
        <v>96</v>
      </c>
      <c r="G18" s="65">
        <v>10</v>
      </c>
      <c r="H18" s="65">
        <v>9</v>
      </c>
      <c r="I18" s="65">
        <v>80</v>
      </c>
      <c r="J18" s="65">
        <v>37</v>
      </c>
    </row>
    <row r="19" spans="5:10">
      <c r="E19" s="65" t="s">
        <v>97</v>
      </c>
      <c r="F19" s="65" t="s">
        <v>98</v>
      </c>
      <c r="G19" s="65">
        <v>13</v>
      </c>
      <c r="H19" s="65">
        <v>102</v>
      </c>
      <c r="I19" s="65">
        <v>102</v>
      </c>
      <c r="J19" s="65">
        <v>25</v>
      </c>
    </row>
    <row r="20" spans="5:10">
      <c r="E20" s="26" t="s">
        <v>99</v>
      </c>
      <c r="F20" s="26" t="s">
        <v>100</v>
      </c>
      <c r="G20" s="26">
        <v>10</v>
      </c>
      <c r="H20" s="26">
        <v>18</v>
      </c>
      <c r="I20" s="26">
        <v>184</v>
      </c>
      <c r="J20" s="26">
        <v>79</v>
      </c>
    </row>
    <row r="21" spans="5:10">
      <c r="E21" s="26" t="s">
        <v>101</v>
      </c>
      <c r="F21" s="26" t="s">
        <v>102</v>
      </c>
      <c r="G21" s="26">
        <v>12</v>
      </c>
      <c r="H21" s="26">
        <v>61</v>
      </c>
      <c r="I21" s="26">
        <v>61</v>
      </c>
      <c r="J21" s="26">
        <v>24</v>
      </c>
    </row>
    <row r="22" spans="5:10">
      <c r="E22" s="26" t="s">
        <v>103</v>
      </c>
      <c r="F22" s="26" t="s">
        <v>104</v>
      </c>
      <c r="G22" s="26">
        <f>SUM(G10:G20)</f>
        <v>103</v>
      </c>
      <c r="H22" s="26">
        <v>0</v>
      </c>
      <c r="I22" s="26">
        <v>175</v>
      </c>
      <c r="J22" s="26">
        <v>33</v>
      </c>
    </row>
    <row r="23" spans="5:10">
      <c r="E23" s="30"/>
      <c r="F23" s="30"/>
      <c r="G23" s="30"/>
      <c r="H23" s="30"/>
      <c r="I23" s="30"/>
      <c r="J23" s="30"/>
    </row>
    <row r="24" spans="5:10">
      <c r="E24" s="30"/>
      <c r="F24" s="30"/>
      <c r="G24" s="30"/>
      <c r="H24" s="30"/>
      <c r="I24" s="30"/>
      <c r="J24" s="30"/>
    </row>
    <row r="25" spans="5:10">
      <c r="E25" s="30"/>
      <c r="F25" s="30"/>
      <c r="G25" s="30"/>
      <c r="H25" s="30"/>
      <c r="I25" s="30"/>
      <c r="J25" s="30"/>
    </row>
    <row r="27" spans="5:10">
      <c r="E27" s="1" t="s">
        <v>105</v>
      </c>
      <c r="F27" s="1" t="s">
        <v>106</v>
      </c>
      <c r="G27" s="1" t="s">
        <v>107</v>
      </c>
      <c r="H2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EFADF-197D-4177-8C58-C5822B42B9B5}">
  <dimension ref="A1:J105"/>
  <sheetViews>
    <sheetView workbookViewId="0">
      <selection activeCell="H11" sqref="H11"/>
    </sheetView>
  </sheetViews>
  <sheetFormatPr defaultRowHeight="14.1"/>
  <cols>
    <col min="2" max="2" width="14" bestFit="1" customWidth="1"/>
    <col min="3" max="3" width="6.125" bestFit="1" customWidth="1"/>
    <col min="4" max="4" width="26.375" customWidth="1"/>
    <col min="5" max="5" width="61.375" customWidth="1"/>
    <col min="6" max="6" width="12.375" customWidth="1"/>
    <col min="7" max="7" width="13.625" customWidth="1"/>
    <col min="9" max="9" width="14.25" customWidth="1"/>
    <col min="10" max="10" width="19" customWidth="1"/>
  </cols>
  <sheetData>
    <row r="1" spans="1:10" ht="52.5">
      <c r="A1" s="217" t="s">
        <v>50</v>
      </c>
      <c r="B1" s="296" t="s">
        <v>108</v>
      </c>
      <c r="C1" s="217" t="s">
        <v>109</v>
      </c>
      <c r="D1" s="217" t="s">
        <v>110</v>
      </c>
      <c r="E1" s="217" t="s">
        <v>111</v>
      </c>
      <c r="F1" s="218" t="s">
        <v>112</v>
      </c>
      <c r="G1" s="217" t="s">
        <v>3</v>
      </c>
      <c r="H1" s="217" t="s">
        <v>113</v>
      </c>
      <c r="I1" s="274" t="s">
        <v>114</v>
      </c>
      <c r="J1" s="217" t="s">
        <v>115</v>
      </c>
    </row>
    <row r="2" spans="1:10">
      <c r="A2" s="300" t="s">
        <v>116</v>
      </c>
      <c r="B2" s="303" t="s">
        <v>117</v>
      </c>
      <c r="C2" s="2" t="s">
        <v>7</v>
      </c>
      <c r="D2" s="115" t="s">
        <v>23</v>
      </c>
      <c r="E2" s="299" t="s">
        <v>24</v>
      </c>
      <c r="F2" s="297"/>
      <c r="G2" s="291" t="s">
        <v>118</v>
      </c>
      <c r="H2" s="291"/>
      <c r="I2" s="292"/>
      <c r="J2" s="293"/>
    </row>
    <row r="3" spans="1:10">
      <c r="A3" s="301"/>
      <c r="B3" s="304"/>
      <c r="C3" s="2" t="s">
        <v>7</v>
      </c>
      <c r="D3" s="115" t="s">
        <v>27</v>
      </c>
      <c r="E3" s="136" t="s">
        <v>28</v>
      </c>
      <c r="F3" s="239"/>
      <c r="G3" s="291" t="s">
        <v>118</v>
      </c>
      <c r="H3" s="12"/>
      <c r="I3" s="270"/>
      <c r="J3" s="294"/>
    </row>
    <row r="4" spans="1:10">
      <c r="A4" s="301"/>
      <c r="B4" s="304"/>
      <c r="C4" s="2" t="s">
        <v>7</v>
      </c>
      <c r="D4" s="115" t="s">
        <v>30</v>
      </c>
      <c r="E4" s="299" t="s">
        <v>31</v>
      </c>
      <c r="F4" s="239"/>
      <c r="G4" s="291" t="s">
        <v>118</v>
      </c>
      <c r="H4" s="12"/>
      <c r="I4" s="270"/>
      <c r="J4" s="294"/>
    </row>
    <row r="5" spans="1:10">
      <c r="A5" s="301"/>
      <c r="B5" s="304"/>
      <c r="C5" s="2" t="s">
        <v>32</v>
      </c>
      <c r="D5" s="115" t="s">
        <v>36</v>
      </c>
      <c r="E5" s="299" t="s">
        <v>37</v>
      </c>
      <c r="F5" s="239"/>
      <c r="G5" s="12" t="s">
        <v>119</v>
      </c>
      <c r="H5" s="12"/>
      <c r="I5" s="270"/>
      <c r="J5" s="294"/>
    </row>
    <row r="6" spans="1:10">
      <c r="A6" s="301"/>
      <c r="B6" s="304"/>
      <c r="C6" s="2" t="s">
        <v>7</v>
      </c>
      <c r="D6" s="115" t="s">
        <v>38</v>
      </c>
      <c r="E6" s="299" t="s">
        <v>39</v>
      </c>
      <c r="F6" s="239"/>
      <c r="G6" s="12" t="s">
        <v>120</v>
      </c>
      <c r="H6" s="12"/>
      <c r="I6" s="270"/>
      <c r="J6" s="294"/>
    </row>
    <row r="7" spans="1:10">
      <c r="A7" s="301"/>
      <c r="B7" s="304"/>
      <c r="C7" s="2" t="s">
        <v>32</v>
      </c>
      <c r="D7" s="115" t="s">
        <v>45</v>
      </c>
      <c r="E7" s="299" t="s">
        <v>46</v>
      </c>
      <c r="F7" s="239"/>
      <c r="G7" s="12" t="s">
        <v>121</v>
      </c>
      <c r="H7" s="12"/>
      <c r="I7" s="270"/>
      <c r="J7" s="294"/>
    </row>
    <row r="8" spans="1:10">
      <c r="A8" s="301"/>
      <c r="B8" s="304"/>
      <c r="C8" s="2" t="s">
        <v>32</v>
      </c>
      <c r="D8" s="115" t="s">
        <v>48</v>
      </c>
      <c r="E8" s="299" t="s">
        <v>49</v>
      </c>
      <c r="F8" s="239"/>
      <c r="G8" s="12" t="s">
        <v>121</v>
      </c>
      <c r="H8" s="12"/>
      <c r="I8" s="270"/>
      <c r="J8" s="294"/>
    </row>
    <row r="9" spans="1:10">
      <c r="A9" s="300" t="s">
        <v>122</v>
      </c>
      <c r="B9" s="305" t="s">
        <v>123</v>
      </c>
      <c r="C9" s="1" t="s">
        <v>32</v>
      </c>
      <c r="D9" s="298" t="s">
        <v>124</v>
      </c>
      <c r="E9" s="136" t="s">
        <v>125</v>
      </c>
      <c r="F9" s="1"/>
      <c r="G9" s="1"/>
      <c r="H9" s="1"/>
      <c r="I9" s="1"/>
      <c r="J9" s="1"/>
    </row>
    <row r="10" spans="1:10">
      <c r="A10" s="301"/>
      <c r="B10" s="301"/>
      <c r="C10" s="1" t="s">
        <v>7</v>
      </c>
      <c r="D10" s="298" t="s">
        <v>126</v>
      </c>
      <c r="E10" s="136" t="s">
        <v>127</v>
      </c>
      <c r="F10" s="1"/>
      <c r="G10" s="1"/>
      <c r="H10" s="1"/>
      <c r="I10" s="1"/>
      <c r="J10" s="1"/>
    </row>
    <row r="11" spans="1:10" ht="27.95">
      <c r="A11" s="301"/>
      <c r="B11" s="301"/>
      <c r="C11" s="1" t="s">
        <v>7</v>
      </c>
      <c r="D11" s="298" t="s">
        <v>128</v>
      </c>
      <c r="E11" s="136" t="s">
        <v>129</v>
      </c>
      <c r="F11" s="1"/>
      <c r="G11" s="1"/>
      <c r="H11" s="1"/>
      <c r="I11" s="1"/>
      <c r="J11" s="1"/>
    </row>
    <row r="12" spans="1:10">
      <c r="A12" s="301"/>
      <c r="B12" s="301"/>
      <c r="C12" s="1" t="s">
        <v>32</v>
      </c>
      <c r="D12" s="298" t="s">
        <v>130</v>
      </c>
      <c r="E12" s="136" t="s">
        <v>131</v>
      </c>
      <c r="F12" s="1"/>
      <c r="G12" s="1"/>
      <c r="H12" s="1"/>
      <c r="I12" s="1"/>
      <c r="J12" s="1"/>
    </row>
    <row r="13" spans="1:10">
      <c r="A13" s="301"/>
      <c r="B13" s="301"/>
      <c r="C13" s="1" t="s">
        <v>32</v>
      </c>
      <c r="D13" s="298" t="s">
        <v>132</v>
      </c>
      <c r="E13" s="136" t="s">
        <v>133</v>
      </c>
      <c r="F13" s="1"/>
      <c r="G13" s="1"/>
      <c r="H13" s="1"/>
      <c r="I13" s="1"/>
      <c r="J13" s="1"/>
    </row>
    <row r="14" spans="1:10">
      <c r="A14" s="301"/>
      <c r="B14" s="301"/>
      <c r="C14" s="1" t="s">
        <v>32</v>
      </c>
      <c r="D14" s="298" t="s">
        <v>134</v>
      </c>
      <c r="E14" s="136" t="s">
        <v>135</v>
      </c>
      <c r="F14" s="1"/>
      <c r="G14" s="1"/>
      <c r="H14" s="1"/>
      <c r="I14" s="1"/>
      <c r="J14" s="1"/>
    </row>
    <row r="15" spans="1:10">
      <c r="A15" s="301"/>
      <c r="B15" s="301"/>
      <c r="C15" s="1" t="s">
        <v>32</v>
      </c>
      <c r="D15" s="298" t="s">
        <v>136</v>
      </c>
      <c r="E15" s="136" t="s">
        <v>137</v>
      </c>
      <c r="F15" s="1"/>
      <c r="G15" s="1"/>
      <c r="H15" s="1"/>
      <c r="I15" s="1"/>
      <c r="J15" s="1"/>
    </row>
    <row r="16" spans="1:10">
      <c r="A16" s="301"/>
      <c r="B16" s="301"/>
      <c r="C16" s="1" t="s">
        <v>32</v>
      </c>
      <c r="D16" s="298" t="s">
        <v>138</v>
      </c>
      <c r="E16" s="136" t="s">
        <v>139</v>
      </c>
      <c r="F16" s="1"/>
      <c r="G16" s="1"/>
      <c r="H16" s="1"/>
      <c r="I16" s="1"/>
      <c r="J16" s="1"/>
    </row>
    <row r="17" spans="1:10">
      <c r="A17" s="301"/>
      <c r="B17" s="301"/>
      <c r="C17" s="1" t="s">
        <v>32</v>
      </c>
      <c r="D17" s="298" t="s">
        <v>140</v>
      </c>
      <c r="E17" s="136" t="s">
        <v>141</v>
      </c>
      <c r="F17" s="1"/>
      <c r="G17" s="1"/>
      <c r="H17" s="1"/>
      <c r="I17" s="1"/>
      <c r="J17" s="1"/>
    </row>
    <row r="18" spans="1:10">
      <c r="A18" s="301"/>
      <c r="B18" s="301"/>
      <c r="C18" s="1" t="s">
        <v>32</v>
      </c>
      <c r="D18" s="298" t="s">
        <v>142</v>
      </c>
      <c r="E18" s="136" t="s">
        <v>143</v>
      </c>
      <c r="F18" s="1"/>
      <c r="G18" s="1"/>
      <c r="H18" s="1"/>
      <c r="I18" s="1"/>
      <c r="J18" s="1"/>
    </row>
    <row r="19" spans="1:10">
      <c r="A19" s="301"/>
      <c r="B19" s="301"/>
      <c r="C19" s="1" t="s">
        <v>32</v>
      </c>
      <c r="D19" s="298" t="s">
        <v>144</v>
      </c>
      <c r="E19" s="136" t="s">
        <v>145</v>
      </c>
      <c r="F19" s="1"/>
      <c r="G19" s="1"/>
      <c r="H19" s="1"/>
      <c r="I19" s="1"/>
      <c r="J19" s="1"/>
    </row>
    <row r="20" spans="1:10" ht="27.95">
      <c r="A20" s="301"/>
      <c r="B20" s="301"/>
      <c r="C20" s="1" t="s">
        <v>32</v>
      </c>
      <c r="D20" s="298" t="s">
        <v>146</v>
      </c>
      <c r="E20" s="136" t="s">
        <v>147</v>
      </c>
      <c r="F20" s="1"/>
      <c r="G20" s="1"/>
      <c r="H20" s="1"/>
      <c r="I20" s="1"/>
      <c r="J20" s="1"/>
    </row>
    <row r="21" spans="1:10">
      <c r="A21" s="301"/>
      <c r="B21" s="301"/>
      <c r="C21" s="1" t="s">
        <v>32</v>
      </c>
      <c r="D21" s="298" t="s">
        <v>148</v>
      </c>
      <c r="E21" s="136" t="s">
        <v>149</v>
      </c>
      <c r="F21" s="1"/>
      <c r="G21" s="1"/>
      <c r="H21" s="1"/>
      <c r="I21" s="1"/>
      <c r="J21" s="1"/>
    </row>
    <row r="22" spans="1:10">
      <c r="A22" s="301"/>
      <c r="B22" s="301"/>
      <c r="C22" s="1" t="s">
        <v>32</v>
      </c>
      <c r="D22" s="298" t="s">
        <v>150</v>
      </c>
      <c r="E22" s="136" t="s">
        <v>151</v>
      </c>
      <c r="F22" s="1"/>
      <c r="G22" s="1"/>
      <c r="H22" s="1"/>
      <c r="I22" s="1"/>
      <c r="J22" s="1"/>
    </row>
    <row r="23" spans="1:10">
      <c r="A23" s="301"/>
      <c r="B23" s="301"/>
      <c r="C23" s="1" t="s">
        <v>32</v>
      </c>
      <c r="D23" s="298" t="s">
        <v>152</v>
      </c>
      <c r="E23" s="136" t="s">
        <v>153</v>
      </c>
      <c r="F23" s="1"/>
      <c r="G23" s="1"/>
      <c r="H23" s="1"/>
      <c r="I23" s="1"/>
      <c r="J23" s="1"/>
    </row>
    <row r="24" spans="1:10" ht="27.95">
      <c r="A24" s="302"/>
      <c r="B24" s="302"/>
      <c r="C24" s="1" t="s">
        <v>32</v>
      </c>
      <c r="D24" s="298" t="s">
        <v>154</v>
      </c>
      <c r="E24" s="136" t="s">
        <v>155</v>
      </c>
      <c r="F24" s="1"/>
      <c r="G24" s="1"/>
      <c r="H24" s="1"/>
      <c r="I24" s="1"/>
      <c r="J24" s="1"/>
    </row>
    <row r="25" spans="1:10" ht="27.95">
      <c r="A25" s="300" t="s">
        <v>156</v>
      </c>
      <c r="B25" s="300" t="s">
        <v>157</v>
      </c>
      <c r="C25" s="1" t="s">
        <v>7</v>
      </c>
      <c r="D25" s="298" t="s">
        <v>158</v>
      </c>
      <c r="E25" s="136" t="s">
        <v>159</v>
      </c>
      <c r="F25" s="1"/>
      <c r="G25" s="1"/>
      <c r="H25" s="1"/>
      <c r="I25" s="1"/>
      <c r="J25" s="1"/>
    </row>
    <row r="26" spans="1:10">
      <c r="A26" s="301"/>
      <c r="B26" s="301"/>
      <c r="C26" s="1" t="s">
        <v>7</v>
      </c>
      <c r="D26" s="298" t="s">
        <v>160</v>
      </c>
      <c r="E26" s="136" t="s">
        <v>161</v>
      </c>
      <c r="F26" s="1"/>
      <c r="G26" s="1"/>
      <c r="H26" s="1"/>
      <c r="I26" s="1"/>
      <c r="J26" s="1"/>
    </row>
    <row r="27" spans="1:10">
      <c r="A27" s="301"/>
      <c r="B27" s="301"/>
      <c r="C27" s="1" t="s">
        <v>7</v>
      </c>
      <c r="D27" s="298" t="s">
        <v>162</v>
      </c>
      <c r="E27" s="136" t="s">
        <v>163</v>
      </c>
      <c r="F27" s="1"/>
      <c r="G27" s="1"/>
      <c r="H27" s="1"/>
      <c r="I27" s="1"/>
      <c r="J27" s="1"/>
    </row>
    <row r="28" spans="1:10">
      <c r="A28" s="301"/>
      <c r="B28" s="301"/>
      <c r="C28" s="1" t="s">
        <v>7</v>
      </c>
      <c r="D28" s="298" t="s">
        <v>164</v>
      </c>
      <c r="E28" s="136" t="s">
        <v>165</v>
      </c>
      <c r="F28" s="1"/>
      <c r="G28" s="1"/>
      <c r="H28" s="1"/>
      <c r="I28" s="1"/>
      <c r="J28" s="1"/>
    </row>
    <row r="29" spans="1:10">
      <c r="A29" s="301"/>
      <c r="B29" s="301"/>
      <c r="C29" s="1" t="s">
        <v>7</v>
      </c>
      <c r="D29" s="298" t="s">
        <v>166</v>
      </c>
      <c r="E29" s="136" t="s">
        <v>167</v>
      </c>
      <c r="F29" s="1"/>
      <c r="G29" s="1"/>
      <c r="H29" s="1"/>
      <c r="I29" s="1"/>
      <c r="J29" s="1"/>
    </row>
    <row r="30" spans="1:10">
      <c r="A30" s="301"/>
      <c r="B30" s="301"/>
      <c r="C30" s="1" t="s">
        <v>7</v>
      </c>
      <c r="D30" s="298" t="s">
        <v>168</v>
      </c>
      <c r="E30" s="136" t="s">
        <v>169</v>
      </c>
      <c r="F30" s="1"/>
      <c r="G30" s="1"/>
      <c r="H30" s="1"/>
      <c r="I30" s="1"/>
      <c r="J30" s="1"/>
    </row>
    <row r="31" spans="1:10">
      <c r="A31" s="301"/>
      <c r="B31" s="301"/>
      <c r="C31" s="1" t="s">
        <v>32</v>
      </c>
      <c r="D31" s="298" t="s">
        <v>170</v>
      </c>
      <c r="E31" s="136" t="s">
        <v>171</v>
      </c>
      <c r="F31" s="1"/>
      <c r="G31" s="1"/>
      <c r="H31" s="1"/>
      <c r="I31" s="1"/>
      <c r="J31" s="1"/>
    </row>
    <row r="32" spans="1:10">
      <c r="A32" s="301"/>
      <c r="B32" s="301"/>
      <c r="C32" s="1" t="s">
        <v>32</v>
      </c>
      <c r="D32" s="298" t="s">
        <v>172</v>
      </c>
      <c r="E32" s="136" t="s">
        <v>173</v>
      </c>
      <c r="F32" s="1"/>
      <c r="G32" s="1"/>
      <c r="H32" s="1"/>
      <c r="I32" s="1"/>
      <c r="J32" s="1"/>
    </row>
    <row r="33" spans="1:10">
      <c r="A33" s="301"/>
      <c r="B33" s="301"/>
      <c r="C33" s="1" t="s">
        <v>32</v>
      </c>
      <c r="D33" s="298" t="s">
        <v>174</v>
      </c>
      <c r="E33" s="136" t="s">
        <v>175</v>
      </c>
      <c r="F33" s="1"/>
      <c r="G33" s="1"/>
      <c r="H33" s="1"/>
      <c r="I33" s="1"/>
      <c r="J33" s="1"/>
    </row>
    <row r="34" spans="1:10">
      <c r="A34" s="301"/>
      <c r="B34" s="301"/>
      <c r="C34" s="1" t="s">
        <v>32</v>
      </c>
      <c r="D34" s="298" t="s">
        <v>176</v>
      </c>
      <c r="E34" s="136" t="s">
        <v>177</v>
      </c>
      <c r="F34" s="1"/>
      <c r="G34" s="1"/>
      <c r="H34" s="1"/>
      <c r="I34" s="1"/>
      <c r="J34" s="1"/>
    </row>
    <row r="35" spans="1:10">
      <c r="A35" s="301"/>
      <c r="B35" s="301"/>
      <c r="C35" s="1" t="s">
        <v>32</v>
      </c>
      <c r="D35" s="298" t="s">
        <v>178</v>
      </c>
      <c r="E35" s="136" t="s">
        <v>179</v>
      </c>
      <c r="F35" s="1"/>
      <c r="G35" s="1"/>
      <c r="H35" s="1"/>
      <c r="I35" s="1"/>
      <c r="J35" s="1"/>
    </row>
    <row r="36" spans="1:10" ht="27.95">
      <c r="A36" s="301"/>
      <c r="B36" s="301"/>
      <c r="C36" s="1" t="s">
        <v>32</v>
      </c>
      <c r="D36" s="298" t="s">
        <v>180</v>
      </c>
      <c r="E36" s="136" t="s">
        <v>181</v>
      </c>
      <c r="F36" s="1"/>
      <c r="G36" s="1"/>
      <c r="H36" s="1"/>
      <c r="I36" s="1"/>
      <c r="J36" s="1"/>
    </row>
    <row r="37" spans="1:10">
      <c r="A37" s="301"/>
      <c r="B37" s="301"/>
      <c r="C37" s="1" t="s">
        <v>32</v>
      </c>
      <c r="D37" s="298" t="s">
        <v>182</v>
      </c>
      <c r="E37" s="136" t="s">
        <v>183</v>
      </c>
      <c r="F37" s="1"/>
      <c r="G37" s="1"/>
      <c r="H37" s="1"/>
      <c r="I37" s="1"/>
      <c r="J37" s="1"/>
    </row>
    <row r="38" spans="1:10">
      <c r="A38" s="301"/>
      <c r="B38" s="301"/>
      <c r="C38" s="1" t="s">
        <v>32</v>
      </c>
      <c r="D38" s="298" t="s">
        <v>184</v>
      </c>
      <c r="E38" s="136" t="s">
        <v>185</v>
      </c>
      <c r="F38" s="1"/>
      <c r="G38" s="1"/>
      <c r="H38" s="1"/>
      <c r="I38" s="1"/>
      <c r="J38" s="1"/>
    </row>
    <row r="39" spans="1:10">
      <c r="A39" s="301"/>
      <c r="B39" s="301"/>
      <c r="C39" s="1" t="s">
        <v>32</v>
      </c>
      <c r="D39" s="298" t="s">
        <v>186</v>
      </c>
      <c r="E39" s="136" t="s">
        <v>187</v>
      </c>
      <c r="F39" s="1"/>
      <c r="G39" s="1"/>
      <c r="H39" s="1"/>
      <c r="I39" s="1"/>
      <c r="J39" s="1"/>
    </row>
    <row r="40" spans="1:10" ht="27.95">
      <c r="A40" s="301"/>
      <c r="B40" s="301"/>
      <c r="C40" s="1" t="s">
        <v>32</v>
      </c>
      <c r="D40" s="298" t="s">
        <v>188</v>
      </c>
      <c r="E40" s="136" t="s">
        <v>189</v>
      </c>
      <c r="F40" s="1"/>
      <c r="G40" s="1"/>
      <c r="H40" s="1"/>
      <c r="I40" s="1"/>
      <c r="J40" s="1"/>
    </row>
    <row r="41" spans="1:10" ht="27.95">
      <c r="A41" s="301"/>
      <c r="B41" s="301"/>
      <c r="C41" s="1" t="s">
        <v>32</v>
      </c>
      <c r="D41" s="298" t="s">
        <v>190</v>
      </c>
      <c r="E41" s="136" t="s">
        <v>191</v>
      </c>
      <c r="F41" s="1"/>
      <c r="G41" s="1"/>
      <c r="H41" s="1"/>
      <c r="I41" s="1"/>
      <c r="J41" s="1"/>
    </row>
    <row r="42" spans="1:10">
      <c r="A42" s="301"/>
      <c r="B42" s="301"/>
      <c r="C42" s="1" t="s">
        <v>32</v>
      </c>
      <c r="D42" s="298" t="s">
        <v>192</v>
      </c>
      <c r="E42" s="136" t="s">
        <v>193</v>
      </c>
      <c r="F42" s="1"/>
      <c r="G42" s="1"/>
      <c r="H42" s="1"/>
      <c r="I42" s="1"/>
      <c r="J42" s="1"/>
    </row>
    <row r="43" spans="1:10">
      <c r="A43" s="301"/>
      <c r="B43" s="301"/>
      <c r="C43" s="1" t="s">
        <v>32</v>
      </c>
      <c r="D43" s="298" t="s">
        <v>194</v>
      </c>
      <c r="E43" s="136" t="s">
        <v>195</v>
      </c>
      <c r="F43" s="1"/>
      <c r="G43" s="1"/>
      <c r="H43" s="1"/>
      <c r="I43" s="1"/>
      <c r="J43" s="1"/>
    </row>
    <row r="44" spans="1:10">
      <c r="A44" s="302"/>
      <c r="B44" s="302"/>
      <c r="C44" s="1" t="s">
        <v>32</v>
      </c>
      <c r="D44" s="298" t="s">
        <v>196</v>
      </c>
      <c r="E44" s="136" t="s">
        <v>197</v>
      </c>
      <c r="F44" s="1"/>
      <c r="G44" s="1"/>
      <c r="H44" s="1"/>
      <c r="I44" s="1"/>
      <c r="J44" s="1"/>
    </row>
    <row r="45" spans="1:10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>
      <c r="A105" s="1"/>
      <c r="B105" s="1"/>
      <c r="C105" s="1"/>
      <c r="D105" s="1"/>
      <c r="E105" s="1"/>
      <c r="F105" s="1"/>
      <c r="G105" s="1"/>
      <c r="H105" s="1"/>
      <c r="I105" s="1"/>
      <c r="J105" s="1"/>
    </row>
  </sheetData>
  <mergeCells count="6">
    <mergeCell ref="B25:B44"/>
    <mergeCell ref="A25:A44"/>
    <mergeCell ref="B2:B8"/>
    <mergeCell ref="A2:A8"/>
    <mergeCell ref="A9:A24"/>
    <mergeCell ref="B9:B24"/>
  </mergeCells>
  <hyperlinks>
    <hyperlink ref="D2" r:id="rId1" xr:uid="{237F3564-E118-4ED6-9A19-2AF2C894BDDD}"/>
    <hyperlink ref="D3" r:id="rId2" xr:uid="{A29EAB72-9D17-470A-85C0-1DEB9487867D}"/>
    <hyperlink ref="D4" r:id="rId3" xr:uid="{81844B96-0FC3-402B-9EFB-A9B89478FE8E}"/>
    <hyperlink ref="D5" r:id="rId4" xr:uid="{6072C9AC-03F0-43D2-BF00-9E8B81FC55DC}"/>
    <hyperlink ref="D6" r:id="rId5" xr:uid="{AD06AAE9-72FA-48FF-A4C9-BB34FF75F411}"/>
    <hyperlink ref="D7" r:id="rId6" xr:uid="{4DE844E6-E755-418E-BC5B-86598E26177B}"/>
    <hyperlink ref="D8" r:id="rId7" xr:uid="{C370FE1E-B906-4281-AED7-B92539061770}"/>
    <hyperlink ref="D9" r:id="rId8" xr:uid="{C13E51E4-FA75-429D-AC18-97F551F7CF07}"/>
    <hyperlink ref="D10" r:id="rId9" xr:uid="{EE85E8A0-B6F5-4A81-8DD6-FAC9FE1A92E9}"/>
    <hyperlink ref="D11" r:id="rId10" xr:uid="{2B5B7A11-3B6C-4C80-AD3C-971D4FCEA307}"/>
    <hyperlink ref="D12" r:id="rId11" xr:uid="{46651E03-14D7-4308-9CC7-D149CE203D0F}"/>
    <hyperlink ref="D13" r:id="rId12" xr:uid="{1E05A419-E1A5-46F8-8905-EED4A7E7082C}"/>
    <hyperlink ref="D14" r:id="rId13" xr:uid="{ACC5F443-636E-41BA-B1BD-7B87BC452614}"/>
    <hyperlink ref="D15" r:id="rId14" xr:uid="{C614B69C-E748-4B77-B302-DC5186A10F44}"/>
    <hyperlink ref="D16" r:id="rId15" xr:uid="{B446A0E1-C35D-4C25-A226-FFD21B2D5841}"/>
    <hyperlink ref="D17" r:id="rId16" xr:uid="{B8C2E5F4-6CB4-417C-A3E7-5AECC29E90DB}"/>
    <hyperlink ref="D18" r:id="rId17" xr:uid="{568E4D32-7D47-42BE-9F9E-1C0D0EF20647}"/>
    <hyperlink ref="D19" r:id="rId18" xr:uid="{53FBB198-DBA2-421E-B58B-25392B99BFB3}"/>
    <hyperlink ref="D20" r:id="rId19" xr:uid="{9C3E61EA-135E-45D9-9001-27ADA6C2A2A0}"/>
    <hyperlink ref="D21" r:id="rId20" xr:uid="{7979EF14-2584-4B4C-A245-4AC89E8C89C0}"/>
    <hyperlink ref="D22" r:id="rId21" xr:uid="{56F6215C-F211-482B-86EF-7858B43FFF30}"/>
    <hyperlink ref="D23" r:id="rId22" xr:uid="{8E076AF6-7A34-4470-9FEE-507BA11DE619}"/>
    <hyperlink ref="D24" r:id="rId23" xr:uid="{FB065EC8-416D-409A-850C-70553F19AE8A}"/>
    <hyperlink ref="D25" r:id="rId24" xr:uid="{C2560B72-707C-4CC3-9F30-AA166E88EB03}"/>
    <hyperlink ref="D26" r:id="rId25" xr:uid="{2AA3879E-5C74-4358-96C0-BC07FADD84B2}"/>
    <hyperlink ref="D27" r:id="rId26" xr:uid="{91DB1445-DFBF-4974-B2BC-5066682605D0}"/>
    <hyperlink ref="D28" r:id="rId27" xr:uid="{1DC53413-4B17-4EC4-AF4B-BE2E0F4AD5DE}"/>
    <hyperlink ref="D29" r:id="rId28" xr:uid="{0877EDF0-272C-4ADB-9D9D-BCCCE6E4A24C}"/>
    <hyperlink ref="D30" r:id="rId29" xr:uid="{BD1ABB4B-CAE1-4562-8D73-18EB12139C87}"/>
    <hyperlink ref="D31" r:id="rId30" xr:uid="{40356BA6-708A-4731-B429-7B6D2DCC6F10}"/>
    <hyperlink ref="D32" r:id="rId31" xr:uid="{B2035A99-5C8E-4EF6-BF7B-E1003D81783F}"/>
    <hyperlink ref="D33" r:id="rId32" xr:uid="{8060FAE6-FB5C-4B9C-8825-0A21B9D5D503}"/>
    <hyperlink ref="D34" r:id="rId33" xr:uid="{D6D3E41C-5243-41D0-B214-7D953CB20AEE}"/>
    <hyperlink ref="D35" r:id="rId34" xr:uid="{896B61A1-145E-4B07-823E-E75E35A79E39}"/>
    <hyperlink ref="D36" r:id="rId35" xr:uid="{D43A8624-CF06-4994-A40D-9B8D6EAB7622}"/>
    <hyperlink ref="D37" r:id="rId36" xr:uid="{273F3508-5D23-4458-9B28-634A4F83A96D}"/>
    <hyperlink ref="D38" r:id="rId37" xr:uid="{080A2AB2-F416-474F-B6D8-C83C25732E43}"/>
    <hyperlink ref="D39" r:id="rId38" xr:uid="{0B80D3DD-994F-4850-9F80-7067311A7DF3}"/>
    <hyperlink ref="D40" r:id="rId39" xr:uid="{BEDB287F-6A03-49FA-ADAA-AE609279759B}"/>
    <hyperlink ref="D41" r:id="rId40" xr:uid="{C2E4C58B-2B68-470D-AF33-D543A744F679}"/>
    <hyperlink ref="D42" r:id="rId41" xr:uid="{A6E2A108-FBA2-4944-928E-887388501162}"/>
    <hyperlink ref="D43" r:id="rId42" xr:uid="{C21A104A-53DF-4DF9-B44D-D6745C5C4E6C}"/>
    <hyperlink ref="D44" r:id="rId43" xr:uid="{F1C45A3A-05D0-47AC-907E-0F562C2E7A9E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6C54F-1739-40D0-A3CF-1F5214985F6F}">
  <sheetPr codeName="Sheet3"/>
  <dimension ref="A1:M61"/>
  <sheetViews>
    <sheetView tabSelected="1" zoomScaleNormal="100" workbookViewId="0">
      <selection activeCell="L5" sqref="L5"/>
    </sheetView>
  </sheetViews>
  <sheetFormatPr defaultRowHeight="14.1"/>
  <cols>
    <col min="3" max="3" width="7.125" customWidth="1"/>
    <col min="4" max="4" width="12.875" customWidth="1"/>
    <col min="7" max="7" width="56.125" hidden="1" customWidth="1"/>
    <col min="8" max="8" width="73.75" customWidth="1"/>
    <col min="9" max="9" width="18.375" customWidth="1"/>
    <col min="12" max="12" width="28.25" customWidth="1"/>
    <col min="13" max="13" width="53.375" customWidth="1"/>
  </cols>
  <sheetData>
    <row r="1" spans="1:13" ht="53.1" thickBot="1">
      <c r="A1" s="217" t="s">
        <v>50</v>
      </c>
      <c r="B1" s="314" t="s">
        <v>108</v>
      </c>
      <c r="C1" s="315"/>
      <c r="D1" s="217" t="s">
        <v>109</v>
      </c>
      <c r="E1" s="217" t="s">
        <v>110</v>
      </c>
      <c r="F1" s="217" t="s">
        <v>198</v>
      </c>
      <c r="G1" s="217" t="s">
        <v>199</v>
      </c>
      <c r="H1" s="217" t="s">
        <v>111</v>
      </c>
      <c r="I1" s="218" t="s">
        <v>112</v>
      </c>
      <c r="J1" s="217" t="s">
        <v>3</v>
      </c>
      <c r="K1" s="217" t="s">
        <v>113</v>
      </c>
      <c r="L1" s="274" t="s">
        <v>114</v>
      </c>
      <c r="M1" s="217" t="s">
        <v>115</v>
      </c>
    </row>
    <row r="2" spans="1:13" ht="27.95">
      <c r="A2" s="319" t="s">
        <v>116</v>
      </c>
      <c r="B2" s="316" t="s">
        <v>200</v>
      </c>
      <c r="C2" s="316"/>
      <c r="D2" s="263" t="s">
        <v>7</v>
      </c>
      <c r="E2" s="263" t="s">
        <v>201</v>
      </c>
      <c r="F2" s="259"/>
      <c r="G2" s="259" t="s">
        <v>202</v>
      </c>
      <c r="H2" s="258" t="s">
        <v>203</v>
      </c>
      <c r="I2" s="259"/>
      <c r="J2" s="259"/>
      <c r="K2" s="259"/>
      <c r="L2" s="269"/>
      <c r="M2" s="260"/>
    </row>
    <row r="3" spans="1:13" ht="27.95">
      <c r="A3" s="320"/>
      <c r="B3" s="317"/>
      <c r="C3" s="317"/>
      <c r="D3" s="41" t="s">
        <v>32</v>
      </c>
      <c r="E3" s="41" t="s">
        <v>204</v>
      </c>
      <c r="F3" s="12"/>
      <c r="G3" s="12" t="s">
        <v>205</v>
      </c>
      <c r="H3" s="256" t="s">
        <v>206</v>
      </c>
      <c r="I3" s="12"/>
      <c r="J3" s="12" t="s">
        <v>120</v>
      </c>
      <c r="K3" s="12"/>
      <c r="L3" s="270"/>
      <c r="M3" s="261"/>
    </row>
    <row r="4" spans="1:13" ht="27.95">
      <c r="A4" s="320"/>
      <c r="B4" s="317"/>
      <c r="C4" s="317"/>
      <c r="D4" s="41" t="s">
        <v>32</v>
      </c>
      <c r="E4" s="41" t="s">
        <v>207</v>
      </c>
      <c r="F4" s="12"/>
      <c r="G4" s="12" t="s">
        <v>205</v>
      </c>
      <c r="H4" s="223" t="s">
        <v>208</v>
      </c>
      <c r="I4" s="12" t="s">
        <v>209</v>
      </c>
      <c r="J4" s="12" t="s">
        <v>118</v>
      </c>
      <c r="K4" s="12"/>
      <c r="L4" s="270"/>
      <c r="M4" s="261"/>
    </row>
    <row r="5" spans="1:13" ht="69.95">
      <c r="A5" s="320"/>
      <c r="B5" s="317"/>
      <c r="C5" s="317"/>
      <c r="D5" s="41" t="s">
        <v>32</v>
      </c>
      <c r="E5" s="41" t="s">
        <v>210</v>
      </c>
      <c r="F5" s="12"/>
      <c r="G5" s="12" t="s">
        <v>205</v>
      </c>
      <c r="H5" s="223" t="s">
        <v>211</v>
      </c>
      <c r="I5" s="12" t="s">
        <v>212</v>
      </c>
      <c r="J5" s="12" t="s">
        <v>118</v>
      </c>
      <c r="K5" s="12"/>
      <c r="L5" s="270"/>
      <c r="M5" s="261"/>
    </row>
    <row r="6" spans="1:13" ht="27.95">
      <c r="A6" s="320"/>
      <c r="B6" s="317"/>
      <c r="C6" s="317"/>
      <c r="D6" s="41" t="s">
        <v>32</v>
      </c>
      <c r="E6" s="41" t="s">
        <v>213</v>
      </c>
      <c r="F6" s="12"/>
      <c r="G6" s="12" t="s">
        <v>205</v>
      </c>
      <c r="H6" s="256" t="s">
        <v>214</v>
      </c>
      <c r="I6" s="12"/>
      <c r="J6" s="12" t="s">
        <v>120</v>
      </c>
      <c r="K6" s="12"/>
      <c r="L6" s="270"/>
      <c r="M6" s="261"/>
    </row>
    <row r="7" spans="1:13" ht="56.1">
      <c r="A7" s="320"/>
      <c r="B7" s="317"/>
      <c r="C7" s="317"/>
      <c r="D7" s="41" t="s">
        <v>32</v>
      </c>
      <c r="E7" s="41" t="s">
        <v>215</v>
      </c>
      <c r="F7" s="12"/>
      <c r="G7" s="12" t="s">
        <v>205</v>
      </c>
      <c r="H7" s="68" t="s">
        <v>216</v>
      </c>
      <c r="I7" s="12" t="s">
        <v>217</v>
      </c>
      <c r="J7" s="12" t="s">
        <v>120</v>
      </c>
      <c r="K7" s="12"/>
      <c r="L7" s="270"/>
      <c r="M7" s="261"/>
    </row>
    <row r="8" spans="1:13" ht="27.95">
      <c r="A8" s="320"/>
      <c r="B8" s="317"/>
      <c r="C8" s="317"/>
      <c r="D8" s="41" t="s">
        <v>32</v>
      </c>
      <c r="E8" s="41" t="s">
        <v>218</v>
      </c>
      <c r="F8" s="12"/>
      <c r="G8" s="12" t="s">
        <v>205</v>
      </c>
      <c r="H8" s="257" t="s">
        <v>219</v>
      </c>
      <c r="I8" s="12"/>
      <c r="J8" s="12" t="s">
        <v>118</v>
      </c>
      <c r="K8" s="12"/>
      <c r="L8" s="270"/>
      <c r="M8" s="261"/>
    </row>
    <row r="9" spans="1:13" ht="27.95">
      <c r="A9" s="320"/>
      <c r="B9" s="317"/>
      <c r="C9" s="317"/>
      <c r="D9" s="41" t="s">
        <v>7</v>
      </c>
      <c r="E9" s="41" t="s">
        <v>220</v>
      </c>
      <c r="F9" s="12"/>
      <c r="G9" s="12"/>
      <c r="H9" s="68" t="s">
        <v>221</v>
      </c>
      <c r="I9" s="12"/>
      <c r="J9" s="12"/>
      <c r="K9" s="12"/>
      <c r="L9" s="270"/>
      <c r="M9" s="261"/>
    </row>
    <row r="10" spans="1:13" ht="27.95">
      <c r="A10" s="320"/>
      <c r="B10" s="317"/>
      <c r="C10" s="317"/>
      <c r="D10" s="41" t="s">
        <v>32</v>
      </c>
      <c r="E10" s="41" t="s">
        <v>222</v>
      </c>
      <c r="F10" s="12"/>
      <c r="G10" s="12" t="s">
        <v>205</v>
      </c>
      <c r="H10" s="68" t="s">
        <v>223</v>
      </c>
      <c r="I10" s="12"/>
      <c r="J10" s="12" t="s">
        <v>119</v>
      </c>
      <c r="K10" s="12"/>
      <c r="L10" s="270"/>
      <c r="M10" s="261"/>
    </row>
    <row r="11" spans="1:13" ht="69.95">
      <c r="A11" s="320"/>
      <c r="B11" s="317"/>
      <c r="C11" s="317"/>
      <c r="D11" s="41" t="s">
        <v>32</v>
      </c>
      <c r="E11" s="41" t="s">
        <v>224</v>
      </c>
      <c r="F11" s="12"/>
      <c r="G11" s="12" t="s">
        <v>205</v>
      </c>
      <c r="H11" s="68" t="s">
        <v>225</v>
      </c>
      <c r="I11" s="12" t="s">
        <v>212</v>
      </c>
      <c r="J11" s="12" t="s">
        <v>118</v>
      </c>
      <c r="K11" s="12"/>
      <c r="L11" s="270"/>
      <c r="M11" s="261"/>
    </row>
    <row r="12" spans="1:13" ht="27.95">
      <c r="A12" s="320"/>
      <c r="B12" s="317"/>
      <c r="C12" s="317"/>
      <c r="D12" s="41" t="s">
        <v>32</v>
      </c>
      <c r="E12" s="41" t="s">
        <v>226</v>
      </c>
      <c r="F12" s="12"/>
      <c r="G12" s="12" t="s">
        <v>205</v>
      </c>
      <c r="H12" s="68" t="s">
        <v>227</v>
      </c>
      <c r="I12" s="12"/>
      <c r="J12" s="12" t="s">
        <v>119</v>
      </c>
      <c r="K12" s="12"/>
      <c r="L12" s="270"/>
      <c r="M12" s="261"/>
    </row>
    <row r="13" spans="1:13" ht="14.45" thickBot="1">
      <c r="A13" s="321"/>
      <c r="B13" s="318"/>
      <c r="C13" s="318"/>
      <c r="D13" s="70" t="s">
        <v>32</v>
      </c>
      <c r="E13" s="70" t="s">
        <v>228</v>
      </c>
      <c r="F13" s="17"/>
      <c r="G13" s="17" t="s">
        <v>229</v>
      </c>
      <c r="H13" s="87" t="s">
        <v>230</v>
      </c>
      <c r="I13" s="17"/>
      <c r="J13" s="17" t="s">
        <v>119</v>
      </c>
      <c r="K13" s="17"/>
      <c r="L13" s="271"/>
      <c r="M13" s="262" t="s">
        <v>231</v>
      </c>
    </row>
    <row r="14" spans="1:13" ht="27.95">
      <c r="A14" s="319" t="s">
        <v>122</v>
      </c>
      <c r="B14" s="310" t="s">
        <v>232</v>
      </c>
      <c r="C14" s="311"/>
      <c r="D14" s="263" t="s">
        <v>32</v>
      </c>
      <c r="E14" s="263" t="s">
        <v>233</v>
      </c>
      <c r="F14" s="263"/>
      <c r="G14" s="263" t="s">
        <v>234</v>
      </c>
      <c r="H14" s="263" t="s">
        <v>235</v>
      </c>
      <c r="I14" s="263"/>
      <c r="J14" s="259" t="s">
        <v>120</v>
      </c>
      <c r="K14" s="259"/>
      <c r="L14" s="269"/>
      <c r="M14" s="260"/>
    </row>
    <row r="15" spans="1:13" ht="27.95">
      <c r="A15" s="320"/>
      <c r="B15" s="312"/>
      <c r="C15" s="313"/>
      <c r="D15" s="41" t="s">
        <v>32</v>
      </c>
      <c r="E15" s="41" t="s">
        <v>236</v>
      </c>
      <c r="F15" s="41"/>
      <c r="G15" s="41" t="s">
        <v>234</v>
      </c>
      <c r="H15" s="41" t="s">
        <v>237</v>
      </c>
      <c r="I15" s="41"/>
      <c r="J15" s="12" t="s">
        <v>120</v>
      </c>
      <c r="K15" s="12"/>
      <c r="L15" s="270"/>
      <c r="M15" s="261"/>
    </row>
    <row r="16" spans="1:13" ht="27.95">
      <c r="A16" s="320"/>
      <c r="B16" s="312"/>
      <c r="C16" s="313"/>
      <c r="D16" s="41" t="s">
        <v>32</v>
      </c>
      <c r="E16" s="41" t="s">
        <v>238</v>
      </c>
      <c r="F16" s="41"/>
      <c r="G16" s="41" t="s">
        <v>234</v>
      </c>
      <c r="H16" s="41" t="s">
        <v>239</v>
      </c>
      <c r="I16" s="41"/>
      <c r="J16" s="12" t="s">
        <v>118</v>
      </c>
      <c r="K16" s="12"/>
      <c r="L16" s="270"/>
      <c r="M16" s="261"/>
    </row>
    <row r="17" spans="1:13" ht="27.95">
      <c r="A17" s="321"/>
      <c r="B17" s="312"/>
      <c r="C17" s="313"/>
      <c r="D17" s="70" t="s">
        <v>32</v>
      </c>
      <c r="E17" s="70" t="s">
        <v>240</v>
      </c>
      <c r="F17" s="70"/>
      <c r="G17" s="70" t="s">
        <v>234</v>
      </c>
      <c r="H17" s="70" t="s">
        <v>241</v>
      </c>
      <c r="I17" s="70"/>
      <c r="J17" s="17" t="s">
        <v>118</v>
      </c>
      <c r="K17" s="17"/>
      <c r="L17" s="271"/>
      <c r="M17" s="262"/>
    </row>
    <row r="18" spans="1:13" ht="27.95">
      <c r="A18" s="308" t="s">
        <v>156</v>
      </c>
      <c r="B18" s="310" t="s">
        <v>242</v>
      </c>
      <c r="C18" s="311"/>
      <c r="D18" s="263" t="s">
        <v>243</v>
      </c>
      <c r="E18" s="263" t="s">
        <v>244</v>
      </c>
      <c r="F18" s="263"/>
      <c r="G18" s="263"/>
      <c r="H18" s="263" t="s">
        <v>245</v>
      </c>
      <c r="I18" s="258"/>
      <c r="J18" s="264" t="s">
        <v>119</v>
      </c>
      <c r="K18" s="259"/>
      <c r="L18" s="269"/>
      <c r="M18" s="260"/>
    </row>
    <row r="19" spans="1:13" ht="29.1" customHeight="1">
      <c r="A19" s="309"/>
      <c r="B19" s="312"/>
      <c r="C19" s="313"/>
      <c r="D19" s="41" t="s">
        <v>32</v>
      </c>
      <c r="E19" s="41" t="s">
        <v>246</v>
      </c>
      <c r="F19" s="41"/>
      <c r="G19" s="41"/>
      <c r="H19" s="41" t="s">
        <v>247</v>
      </c>
      <c r="I19" s="41"/>
      <c r="J19" s="239" t="s">
        <v>120</v>
      </c>
      <c r="K19" s="12"/>
      <c r="L19" s="270"/>
      <c r="M19" s="261"/>
    </row>
    <row r="20" spans="1:13" ht="27.95">
      <c r="A20" s="309"/>
      <c r="B20" s="312"/>
      <c r="C20" s="313"/>
      <c r="D20" s="41" t="s">
        <v>32</v>
      </c>
      <c r="E20" s="41" t="s">
        <v>248</v>
      </c>
      <c r="F20" s="41"/>
      <c r="G20" s="41"/>
      <c r="H20" s="41" t="s">
        <v>249</v>
      </c>
      <c r="I20" s="41"/>
      <c r="J20" s="239" t="s">
        <v>120</v>
      </c>
      <c r="K20" s="12"/>
      <c r="L20" s="270"/>
      <c r="M20" s="261"/>
    </row>
    <row r="21" spans="1:13" ht="27.95">
      <c r="A21" s="309"/>
      <c r="B21" s="312"/>
      <c r="C21" s="313"/>
      <c r="D21" s="41" t="s">
        <v>32</v>
      </c>
      <c r="E21" s="41" t="s">
        <v>238</v>
      </c>
      <c r="F21" s="41"/>
      <c r="G21" s="41"/>
      <c r="H21" s="41" t="s">
        <v>239</v>
      </c>
      <c r="I21" s="41"/>
      <c r="J21" s="239" t="s">
        <v>118</v>
      </c>
      <c r="K21" s="12"/>
      <c r="L21" s="270"/>
      <c r="M21" s="261"/>
    </row>
    <row r="22" spans="1:13" ht="27.95">
      <c r="A22" s="309"/>
      <c r="B22" s="312"/>
      <c r="C22" s="313"/>
      <c r="D22" s="41" t="s">
        <v>32</v>
      </c>
      <c r="E22" s="41" t="s">
        <v>250</v>
      </c>
      <c r="F22" s="41"/>
      <c r="G22" s="41"/>
      <c r="H22" s="41" t="s">
        <v>251</v>
      </c>
      <c r="I22" s="41"/>
      <c r="J22" s="239" t="s">
        <v>118</v>
      </c>
      <c r="K22" s="12"/>
      <c r="L22" s="270"/>
      <c r="M22" s="261"/>
    </row>
    <row r="23" spans="1:13" ht="27.95">
      <c r="A23" s="309"/>
      <c r="B23" s="312"/>
      <c r="C23" s="313"/>
      <c r="D23" s="41" t="s">
        <v>32</v>
      </c>
      <c r="E23" s="70" t="s">
        <v>252</v>
      </c>
      <c r="F23" s="70"/>
      <c r="G23" s="70"/>
      <c r="H23" s="70" t="s">
        <v>253</v>
      </c>
      <c r="I23" s="70"/>
      <c r="J23" s="239" t="s">
        <v>118</v>
      </c>
      <c r="K23" s="17"/>
      <c r="L23" s="271"/>
      <c r="M23" s="262"/>
    </row>
    <row r="24" spans="1:13" ht="27.95">
      <c r="A24" s="309"/>
      <c r="B24" s="312"/>
      <c r="C24" s="313"/>
      <c r="D24" s="70" t="s">
        <v>32</v>
      </c>
      <c r="E24" s="70" t="s">
        <v>254</v>
      </c>
      <c r="F24" s="70"/>
      <c r="G24" s="70"/>
      <c r="H24" s="70" t="s">
        <v>255</v>
      </c>
      <c r="I24" s="70"/>
      <c r="J24" s="265" t="s">
        <v>119</v>
      </c>
      <c r="K24" s="17"/>
      <c r="L24" s="271"/>
      <c r="M24" s="262"/>
    </row>
    <row r="25" spans="1:13" ht="15" customHeight="1">
      <c r="A25" s="327" t="s">
        <v>256</v>
      </c>
      <c r="B25" s="329" t="s">
        <v>257</v>
      </c>
      <c r="C25" s="330"/>
      <c r="D25" s="258" t="s">
        <v>32</v>
      </c>
      <c r="E25" s="258" t="s">
        <v>258</v>
      </c>
      <c r="F25" s="258"/>
      <c r="G25" s="277"/>
      <c r="H25" s="275" t="s">
        <v>259</v>
      </c>
      <c r="I25" s="258"/>
      <c r="J25" s="258" t="s">
        <v>118</v>
      </c>
      <c r="K25" s="267"/>
      <c r="L25" s="272"/>
      <c r="M25" s="260"/>
    </row>
    <row r="26" spans="1:13" ht="27.95">
      <c r="A26" s="328"/>
      <c r="B26" s="331"/>
      <c r="C26" s="332"/>
      <c r="D26" s="68" t="s">
        <v>32</v>
      </c>
      <c r="E26" s="68" t="s">
        <v>260</v>
      </c>
      <c r="F26" s="68"/>
      <c r="G26" s="69"/>
      <c r="H26" s="276" t="s">
        <v>261</v>
      </c>
      <c r="I26" s="68"/>
      <c r="J26" s="68" t="s">
        <v>120</v>
      </c>
      <c r="K26" s="50"/>
      <c r="L26" s="273"/>
      <c r="M26" s="261"/>
    </row>
    <row r="27" spans="1:13" ht="27.95">
      <c r="A27" s="328"/>
      <c r="B27" s="331"/>
      <c r="C27" s="332"/>
      <c r="D27" s="68" t="s">
        <v>32</v>
      </c>
      <c r="E27" s="68" t="s">
        <v>262</v>
      </c>
      <c r="F27" s="68"/>
      <c r="G27" s="69"/>
      <c r="H27" s="276" t="s">
        <v>263</v>
      </c>
      <c r="I27" s="68"/>
      <c r="J27" s="68" t="s">
        <v>119</v>
      </c>
      <c r="K27" s="50"/>
      <c r="L27" s="273"/>
      <c r="M27" s="261"/>
    </row>
    <row r="28" spans="1:13" ht="27.95">
      <c r="A28" s="328"/>
      <c r="B28" s="331"/>
      <c r="C28" s="332"/>
      <c r="D28" s="68" t="s">
        <v>32</v>
      </c>
      <c r="E28" s="68" t="s">
        <v>264</v>
      </c>
      <c r="F28" s="68"/>
      <c r="G28" s="69"/>
      <c r="H28" s="276" t="s">
        <v>265</v>
      </c>
      <c r="I28" s="68"/>
      <c r="J28" s="68" t="s">
        <v>120</v>
      </c>
      <c r="K28" s="50"/>
      <c r="L28" s="273"/>
      <c r="M28" s="261"/>
    </row>
    <row r="29" spans="1:13" ht="27.95">
      <c r="A29" s="328"/>
      <c r="B29" s="331"/>
      <c r="C29" s="332"/>
      <c r="D29" s="68" t="s">
        <v>32</v>
      </c>
      <c r="E29" s="68" t="s">
        <v>266</v>
      </c>
      <c r="F29" s="68"/>
      <c r="G29" s="69"/>
      <c r="H29" s="276" t="s">
        <v>267</v>
      </c>
      <c r="I29" s="68"/>
      <c r="J29" s="68" t="s">
        <v>120</v>
      </c>
      <c r="K29" s="50"/>
      <c r="L29" s="273"/>
      <c r="M29" s="261"/>
    </row>
    <row r="30" spans="1:13" ht="27.95">
      <c r="A30" s="328"/>
      <c r="B30" s="331"/>
      <c r="C30" s="332"/>
      <c r="D30" s="68" t="s">
        <v>32</v>
      </c>
      <c r="E30" s="68" t="s">
        <v>268</v>
      </c>
      <c r="F30" s="68"/>
      <c r="G30" s="69"/>
      <c r="H30" s="276" t="s">
        <v>269</v>
      </c>
      <c r="I30" s="68"/>
      <c r="J30" s="68" t="s">
        <v>119</v>
      </c>
      <c r="K30" s="50"/>
      <c r="L30" s="273"/>
      <c r="M30" s="261"/>
    </row>
    <row r="31" spans="1:13" ht="27.95">
      <c r="A31" s="328"/>
      <c r="B31" s="331"/>
      <c r="C31" s="332"/>
      <c r="D31" s="68" t="s">
        <v>32</v>
      </c>
      <c r="E31" s="68" t="s">
        <v>270</v>
      </c>
      <c r="F31" s="68"/>
      <c r="G31" s="69"/>
      <c r="H31" s="276" t="s">
        <v>271</v>
      </c>
      <c r="I31" s="68"/>
      <c r="J31" s="68" t="s">
        <v>118</v>
      </c>
      <c r="K31" s="50"/>
      <c r="L31" s="273"/>
      <c r="M31" s="261"/>
    </row>
    <row r="32" spans="1:13" ht="27.95">
      <c r="A32" s="328"/>
      <c r="B32" s="331"/>
      <c r="C32" s="332"/>
      <c r="D32" s="68" t="s">
        <v>32</v>
      </c>
      <c r="E32" s="68" t="s">
        <v>272</v>
      </c>
      <c r="F32" s="68"/>
      <c r="G32" s="69"/>
      <c r="H32" s="276" t="s">
        <v>273</v>
      </c>
      <c r="I32" s="68"/>
      <c r="J32" s="68" t="s">
        <v>120</v>
      </c>
      <c r="K32" s="50"/>
      <c r="L32" s="273"/>
      <c r="M32" s="261"/>
    </row>
    <row r="33" spans="1:13" ht="27.95">
      <c r="A33" s="328"/>
      <c r="B33" s="331"/>
      <c r="C33" s="332"/>
      <c r="D33" s="68" t="s">
        <v>32</v>
      </c>
      <c r="E33" s="68" t="s">
        <v>274</v>
      </c>
      <c r="F33" s="68"/>
      <c r="G33" s="69"/>
      <c r="H33" s="276" t="s">
        <v>275</v>
      </c>
      <c r="I33" s="68"/>
      <c r="J33" s="68" t="s">
        <v>119</v>
      </c>
      <c r="K33" s="50"/>
      <c r="L33" s="273"/>
      <c r="M33" s="261"/>
    </row>
    <row r="34" spans="1:13" ht="27.95">
      <c r="A34" s="328"/>
      <c r="B34" s="331"/>
      <c r="C34" s="332"/>
      <c r="D34" s="87" t="s">
        <v>32</v>
      </c>
      <c r="E34" s="87" t="s">
        <v>276</v>
      </c>
      <c r="F34" s="87"/>
      <c r="G34" s="72"/>
      <c r="H34" s="281" t="s">
        <v>277</v>
      </c>
      <c r="I34" s="87"/>
      <c r="J34" s="87" t="s">
        <v>118</v>
      </c>
      <c r="K34" s="71"/>
      <c r="L34" s="282"/>
      <c r="M34" s="262"/>
    </row>
    <row r="35" spans="1:13" ht="27.95">
      <c r="A35" s="322" t="s">
        <v>278</v>
      </c>
      <c r="B35" s="325" t="s">
        <v>279</v>
      </c>
      <c r="C35" s="325"/>
      <c r="D35" s="258" t="s">
        <v>7</v>
      </c>
      <c r="E35" s="258" t="s">
        <v>280</v>
      </c>
      <c r="F35" s="258"/>
      <c r="G35" s="258"/>
      <c r="H35" s="258" t="s">
        <v>281</v>
      </c>
      <c r="I35" s="258"/>
      <c r="J35" s="258" t="s">
        <v>118</v>
      </c>
      <c r="K35" s="278"/>
      <c r="L35" s="278"/>
      <c r="M35" s="279"/>
    </row>
    <row r="36" spans="1:13" ht="27.95">
      <c r="A36" s="323"/>
      <c r="B36" s="306"/>
      <c r="C36" s="306"/>
      <c r="D36" s="68" t="s">
        <v>7</v>
      </c>
      <c r="E36" s="68" t="s">
        <v>282</v>
      </c>
      <c r="F36" s="68"/>
      <c r="G36" s="68"/>
      <c r="H36" s="68" t="s">
        <v>283</v>
      </c>
      <c r="I36" s="68"/>
      <c r="J36" s="68" t="s">
        <v>284</v>
      </c>
      <c r="K36" s="268"/>
      <c r="L36" s="268"/>
      <c r="M36" s="280"/>
    </row>
    <row r="37" spans="1:13" ht="27.95">
      <c r="A37" s="323"/>
      <c r="B37" s="306"/>
      <c r="C37" s="306"/>
      <c r="D37" s="68" t="s">
        <v>32</v>
      </c>
      <c r="E37" s="68" t="s">
        <v>285</v>
      </c>
      <c r="F37" s="68"/>
      <c r="G37" s="68"/>
      <c r="H37" s="68" t="s">
        <v>286</v>
      </c>
      <c r="I37" s="68"/>
      <c r="J37" s="68" t="s">
        <v>119</v>
      </c>
      <c r="K37" s="268"/>
      <c r="L37" s="268"/>
      <c r="M37" s="280"/>
    </row>
    <row r="38" spans="1:13" ht="27.95">
      <c r="A38" s="323"/>
      <c r="B38" s="306"/>
      <c r="C38" s="306"/>
      <c r="D38" s="68" t="s">
        <v>32</v>
      </c>
      <c r="E38" s="68" t="s">
        <v>287</v>
      </c>
      <c r="F38" s="68"/>
      <c r="G38" s="68"/>
      <c r="H38" s="68" t="s">
        <v>288</v>
      </c>
      <c r="I38" s="68"/>
      <c r="J38" s="68" t="s">
        <v>119</v>
      </c>
      <c r="K38" s="268"/>
      <c r="L38" s="268"/>
      <c r="M38" s="280"/>
    </row>
    <row r="39" spans="1:13" ht="27.95">
      <c r="A39" s="323"/>
      <c r="B39" s="306"/>
      <c r="C39" s="306"/>
      <c r="D39" s="68" t="s">
        <v>32</v>
      </c>
      <c r="E39" s="68" t="s">
        <v>289</v>
      </c>
      <c r="F39" s="68"/>
      <c r="G39" s="68"/>
      <c r="H39" s="68" t="s">
        <v>290</v>
      </c>
      <c r="I39" s="68"/>
      <c r="J39" s="68" t="s">
        <v>120</v>
      </c>
      <c r="K39" s="268"/>
      <c r="L39" s="268"/>
      <c r="M39" s="280"/>
    </row>
    <row r="40" spans="1:13" ht="27.95">
      <c r="A40" s="323"/>
      <c r="B40" s="306"/>
      <c r="C40" s="306"/>
      <c r="D40" s="68" t="s">
        <v>32</v>
      </c>
      <c r="E40" s="68" t="s">
        <v>291</v>
      </c>
      <c r="F40" s="68"/>
      <c r="G40" s="68"/>
      <c r="H40" s="68" t="s">
        <v>292</v>
      </c>
      <c r="I40" s="68"/>
      <c r="J40" s="68" t="s">
        <v>120</v>
      </c>
      <c r="K40" s="268"/>
      <c r="L40" s="268"/>
      <c r="M40" s="280"/>
    </row>
    <row r="41" spans="1:13" ht="27.95">
      <c r="A41" s="323"/>
      <c r="B41" s="306"/>
      <c r="C41" s="306"/>
      <c r="D41" s="68" t="s">
        <v>32</v>
      </c>
      <c r="E41" s="68" t="s">
        <v>293</v>
      </c>
      <c r="F41" s="68"/>
      <c r="G41" s="68"/>
      <c r="H41" s="68" t="s">
        <v>294</v>
      </c>
      <c r="I41" s="68"/>
      <c r="J41" s="68" t="s">
        <v>118</v>
      </c>
      <c r="K41" s="268"/>
      <c r="L41" s="268"/>
      <c r="M41" s="280"/>
    </row>
    <row r="42" spans="1:13" ht="27.95">
      <c r="A42" s="323"/>
      <c r="B42" s="306"/>
      <c r="C42" s="306"/>
      <c r="D42" s="68" t="s">
        <v>32</v>
      </c>
      <c r="E42" s="68" t="s">
        <v>295</v>
      </c>
      <c r="F42" s="68"/>
      <c r="G42" s="68"/>
      <c r="H42" s="68" t="s">
        <v>296</v>
      </c>
      <c r="I42" s="68"/>
      <c r="J42" s="68" t="s">
        <v>118</v>
      </c>
      <c r="K42" s="268"/>
      <c r="L42" s="268"/>
      <c r="M42" s="280"/>
    </row>
    <row r="43" spans="1:13" ht="28.5" thickBot="1">
      <c r="A43" s="324"/>
      <c r="B43" s="326"/>
      <c r="C43" s="326"/>
      <c r="D43" s="87" t="s">
        <v>32</v>
      </c>
      <c r="E43" s="87" t="s">
        <v>297</v>
      </c>
      <c r="F43" s="87"/>
      <c r="G43" s="87"/>
      <c r="H43" s="87" t="s">
        <v>298</v>
      </c>
      <c r="I43" s="87"/>
      <c r="J43" s="87" t="s">
        <v>120</v>
      </c>
      <c r="K43" s="283"/>
      <c r="L43" s="283" t="s">
        <v>299</v>
      </c>
      <c r="M43" s="288"/>
    </row>
    <row r="44" spans="1:13" ht="28.5" thickBot="1">
      <c r="A44" s="322" t="s">
        <v>300</v>
      </c>
      <c r="B44" s="325" t="s">
        <v>301</v>
      </c>
      <c r="C44" s="325"/>
      <c r="D44" s="68" t="s">
        <v>32</v>
      </c>
      <c r="E44" s="68" t="s">
        <v>302</v>
      </c>
      <c r="F44" s="68"/>
      <c r="G44" s="258"/>
      <c r="H44" s="289" t="s">
        <v>303</v>
      </c>
      <c r="I44" s="258"/>
      <c r="J44" s="258" t="s">
        <v>119</v>
      </c>
      <c r="K44" s="290"/>
      <c r="L44" s="290"/>
      <c r="M44" s="279"/>
    </row>
    <row r="45" spans="1:13" ht="14.45" customHeight="1" thickBot="1">
      <c r="A45" s="323"/>
      <c r="B45" s="306"/>
      <c r="C45" s="306"/>
      <c r="D45" s="68" t="s">
        <v>7</v>
      </c>
      <c r="E45" s="68" t="s">
        <v>304</v>
      </c>
      <c r="F45" s="68"/>
      <c r="G45" s="68"/>
      <c r="H45" s="285" t="s">
        <v>305</v>
      </c>
      <c r="I45" s="68"/>
      <c r="J45" s="258" t="s">
        <v>119</v>
      </c>
      <c r="K45" s="36"/>
      <c r="L45" s="36"/>
      <c r="M45" s="280"/>
    </row>
    <row r="46" spans="1:13" ht="14.45" customHeight="1">
      <c r="A46" s="323"/>
      <c r="B46" s="306"/>
      <c r="C46" s="306"/>
      <c r="D46" s="68" t="s">
        <v>7</v>
      </c>
      <c r="E46" s="68" t="s">
        <v>306</v>
      </c>
      <c r="F46" s="68"/>
      <c r="G46" s="36"/>
      <c r="H46" s="285" t="s">
        <v>307</v>
      </c>
      <c r="I46" s="36"/>
      <c r="J46" s="258" t="s">
        <v>119</v>
      </c>
      <c r="K46" s="36"/>
      <c r="L46" s="36"/>
      <c r="M46" s="280"/>
    </row>
    <row r="47" spans="1:13" ht="14.45" customHeight="1">
      <c r="A47" s="323"/>
      <c r="B47" s="306"/>
      <c r="C47" s="306"/>
      <c r="D47" s="68" t="s">
        <v>7</v>
      </c>
      <c r="E47" s="68" t="s">
        <v>308</v>
      </c>
      <c r="F47" s="68"/>
      <c r="G47" s="36"/>
      <c r="H47" s="284" t="s">
        <v>309</v>
      </c>
      <c r="I47" s="36"/>
      <c r="J47" s="36" t="s">
        <v>120</v>
      </c>
      <c r="K47" s="36"/>
      <c r="L47" s="36"/>
      <c r="M47" s="280"/>
    </row>
    <row r="48" spans="1:13" ht="14.45" customHeight="1">
      <c r="A48" s="323"/>
      <c r="B48" s="306"/>
      <c r="C48" s="306"/>
      <c r="D48" s="68" t="s">
        <v>32</v>
      </c>
      <c r="E48" s="68" t="s">
        <v>310</v>
      </c>
      <c r="F48" s="68"/>
      <c r="G48" s="36"/>
      <c r="H48" s="285" t="s">
        <v>311</v>
      </c>
      <c r="I48" s="36"/>
      <c r="J48" s="36" t="s">
        <v>119</v>
      </c>
      <c r="K48" s="36"/>
      <c r="L48" s="36"/>
      <c r="M48" s="280"/>
    </row>
    <row r="49" spans="1:13" ht="14.45" customHeight="1">
      <c r="A49" s="323"/>
      <c r="B49" s="306"/>
      <c r="C49" s="306"/>
      <c r="D49" s="68" t="s">
        <v>243</v>
      </c>
      <c r="E49" s="68" t="s">
        <v>312</v>
      </c>
      <c r="F49" s="68"/>
      <c r="G49" s="36"/>
      <c r="H49" s="284" t="s">
        <v>313</v>
      </c>
      <c r="I49" s="36"/>
      <c r="J49" s="36" t="s">
        <v>120</v>
      </c>
      <c r="K49" s="36"/>
      <c r="L49" s="36"/>
      <c r="M49" s="280"/>
    </row>
    <row r="50" spans="1:13" ht="14.45" customHeight="1">
      <c r="A50" s="323"/>
      <c r="B50" s="306"/>
      <c r="C50" s="306"/>
      <c r="D50" s="68" t="s">
        <v>32</v>
      </c>
      <c r="E50" s="68" t="s">
        <v>314</v>
      </c>
      <c r="F50" s="68"/>
      <c r="G50" s="36"/>
      <c r="H50" s="286" t="s">
        <v>315</v>
      </c>
      <c r="I50" s="36"/>
      <c r="J50" s="36"/>
      <c r="K50" s="36"/>
      <c r="L50" s="36"/>
      <c r="M50" s="280"/>
    </row>
    <row r="51" spans="1:13" ht="14.45" customHeight="1">
      <c r="A51" s="323"/>
      <c r="B51" s="306"/>
      <c r="C51" s="306"/>
      <c r="D51" s="68" t="s">
        <v>7</v>
      </c>
      <c r="E51" s="68" t="s">
        <v>316</v>
      </c>
      <c r="F51" s="68"/>
      <c r="G51" s="36"/>
      <c r="H51" s="287" t="s">
        <v>317</v>
      </c>
      <c r="I51" s="36"/>
      <c r="J51" s="36" t="s">
        <v>118</v>
      </c>
      <c r="K51" s="36"/>
      <c r="L51" s="36" t="s">
        <v>318</v>
      </c>
      <c r="M51" s="280"/>
    </row>
    <row r="52" spans="1:13" ht="14.45" customHeight="1">
      <c r="A52" s="323"/>
      <c r="B52" s="306"/>
      <c r="C52" s="306"/>
      <c r="D52" s="68" t="s">
        <v>7</v>
      </c>
      <c r="E52" s="68" t="s">
        <v>319</v>
      </c>
      <c r="F52" s="68"/>
      <c r="G52" s="36"/>
      <c r="H52" s="287" t="s">
        <v>320</v>
      </c>
      <c r="I52" s="36"/>
      <c r="J52" s="36" t="s">
        <v>118</v>
      </c>
      <c r="K52" s="36"/>
      <c r="L52" s="36" t="s">
        <v>318</v>
      </c>
      <c r="M52" s="280"/>
    </row>
    <row r="53" spans="1:13" ht="27.95">
      <c r="A53" s="323"/>
      <c r="B53" s="306"/>
      <c r="C53" s="306"/>
      <c r="D53" s="68" t="s">
        <v>7</v>
      </c>
      <c r="E53" s="68" t="s">
        <v>321</v>
      </c>
      <c r="F53" s="68"/>
      <c r="G53" s="36"/>
      <c r="H53" s="287" t="s">
        <v>322</v>
      </c>
      <c r="I53" s="36"/>
      <c r="J53" s="36" t="s">
        <v>118</v>
      </c>
      <c r="K53" s="36"/>
      <c r="L53" s="36" t="s">
        <v>318</v>
      </c>
      <c r="M53" s="280"/>
    </row>
    <row r="54" spans="1:13" ht="27.95">
      <c r="A54" s="323"/>
      <c r="B54" s="306"/>
      <c r="C54" s="306"/>
      <c r="D54" s="68" t="s">
        <v>7</v>
      </c>
      <c r="E54" s="68" t="s">
        <v>323</v>
      </c>
      <c r="F54" s="68"/>
      <c r="G54" s="36"/>
      <c r="H54" s="287" t="s">
        <v>324</v>
      </c>
      <c r="I54" s="36"/>
      <c r="J54" s="36" t="s">
        <v>118</v>
      </c>
      <c r="K54" s="36"/>
      <c r="L54" s="36" t="s">
        <v>318</v>
      </c>
      <c r="M54" s="280"/>
    </row>
    <row r="55" spans="1:13" ht="27.95">
      <c r="A55" s="323"/>
      <c r="B55" s="306"/>
      <c r="C55" s="306"/>
      <c r="D55" s="68" t="s">
        <v>32</v>
      </c>
      <c r="E55" s="68" t="s">
        <v>325</v>
      </c>
      <c r="F55" s="68"/>
      <c r="G55" s="36"/>
      <c r="H55" s="284" t="s">
        <v>326</v>
      </c>
      <c r="I55" s="36"/>
      <c r="J55" s="36" t="s">
        <v>119</v>
      </c>
      <c r="K55" s="36"/>
      <c r="L55" s="36"/>
      <c r="M55" s="280"/>
    </row>
    <row r="56" spans="1:13" ht="27.95">
      <c r="A56" s="323"/>
      <c r="B56" s="306"/>
      <c r="C56" s="306"/>
      <c r="D56" s="68" t="s">
        <v>32</v>
      </c>
      <c r="E56" s="68" t="s">
        <v>327</v>
      </c>
      <c r="F56" s="68"/>
      <c r="G56" s="36"/>
      <c r="H56" s="286" t="s">
        <v>328</v>
      </c>
      <c r="I56" s="36"/>
      <c r="J56" s="36"/>
      <c r="K56" s="36"/>
      <c r="L56" s="36"/>
      <c r="M56" s="280"/>
    </row>
    <row r="57" spans="1:13" ht="15" thickBot="1">
      <c r="A57" s="333"/>
      <c r="B57" s="334"/>
      <c r="C57" s="334"/>
      <c r="D57" s="87" t="s">
        <v>243</v>
      </c>
      <c r="E57" s="87" t="s">
        <v>329</v>
      </c>
      <c r="F57" s="87"/>
      <c r="G57" s="65"/>
      <c r="H57" s="295" t="s">
        <v>330</v>
      </c>
      <c r="I57" s="65"/>
      <c r="J57" s="65" t="s">
        <v>120</v>
      </c>
      <c r="K57" s="65"/>
      <c r="L57" s="65"/>
      <c r="M57" s="288"/>
    </row>
    <row r="58" spans="1:13">
      <c r="A58" s="306" t="s">
        <v>331</v>
      </c>
      <c r="B58" s="306" t="s">
        <v>332</v>
      </c>
      <c r="C58" s="307"/>
      <c r="D58" s="36" t="s">
        <v>32</v>
      </c>
      <c r="E58" s="36" t="s">
        <v>333</v>
      </c>
      <c r="F58" s="36"/>
      <c r="G58" s="36"/>
      <c r="H58" s="36" t="s">
        <v>334</v>
      </c>
      <c r="I58" s="36"/>
      <c r="J58" s="36" t="s">
        <v>118</v>
      </c>
      <c r="K58" s="36"/>
      <c r="L58" s="36"/>
      <c r="M58" s="36"/>
    </row>
    <row r="59" spans="1:13">
      <c r="A59" s="306"/>
      <c r="B59" s="306"/>
      <c r="C59" s="307"/>
      <c r="D59" s="36" t="s">
        <v>32</v>
      </c>
      <c r="E59" s="36" t="s">
        <v>335</v>
      </c>
      <c r="F59" s="36"/>
      <c r="G59" s="36"/>
      <c r="H59" s="36" t="s">
        <v>336</v>
      </c>
      <c r="I59" s="36"/>
      <c r="J59" s="36" t="s">
        <v>118</v>
      </c>
      <c r="K59" s="36"/>
      <c r="L59" s="36"/>
      <c r="M59" s="36"/>
    </row>
    <row r="60" spans="1:13" ht="27.95">
      <c r="A60" s="306"/>
      <c r="B60" s="306"/>
      <c r="C60" s="307"/>
      <c r="D60" s="36" t="s">
        <v>32</v>
      </c>
      <c r="E60" s="36" t="s">
        <v>337</v>
      </c>
      <c r="F60" s="36"/>
      <c r="G60" s="36"/>
      <c r="H60" s="12" t="s">
        <v>338</v>
      </c>
      <c r="I60" s="36"/>
      <c r="J60" s="36" t="s">
        <v>119</v>
      </c>
      <c r="K60" s="36"/>
      <c r="L60" s="36"/>
      <c r="M60" s="36"/>
    </row>
    <row r="61" spans="1:13">
      <c r="A61" s="306"/>
      <c r="B61" s="306"/>
      <c r="C61" s="307"/>
      <c r="D61" s="36" t="s">
        <v>7</v>
      </c>
      <c r="E61" s="36" t="s">
        <v>339</v>
      </c>
      <c r="F61" s="36"/>
      <c r="G61" s="36"/>
      <c r="H61" s="36" t="s">
        <v>340</v>
      </c>
      <c r="I61" s="36"/>
      <c r="J61" s="36" t="s">
        <v>120</v>
      </c>
      <c r="K61" s="36"/>
      <c r="L61" s="36"/>
      <c r="M61" s="36"/>
    </row>
  </sheetData>
  <mergeCells count="15">
    <mergeCell ref="B58:C61"/>
    <mergeCell ref="A58:A61"/>
    <mergeCell ref="A18:A24"/>
    <mergeCell ref="B18:C24"/>
    <mergeCell ref="B1:C1"/>
    <mergeCell ref="B2:C13"/>
    <mergeCell ref="A2:A13"/>
    <mergeCell ref="A14:A17"/>
    <mergeCell ref="B14:C17"/>
    <mergeCell ref="A35:A43"/>
    <mergeCell ref="B35:C43"/>
    <mergeCell ref="A25:A34"/>
    <mergeCell ref="B25:C34"/>
    <mergeCell ref="A44:A57"/>
    <mergeCell ref="B44:C5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2D1E3-E77E-4413-AA87-8F7C40E71652}">
  <sheetPr codeName="Sheet4"/>
  <dimension ref="A1:M66"/>
  <sheetViews>
    <sheetView workbookViewId="0">
      <selection activeCell="H29" sqref="H29"/>
    </sheetView>
  </sheetViews>
  <sheetFormatPr defaultColWidth="8.375" defaultRowHeight="14.1"/>
  <cols>
    <col min="1" max="1" width="7.375" style="219" bestFit="1" customWidth="1"/>
    <col min="2" max="3" width="11.375" style="219" customWidth="1"/>
    <col min="4" max="4" width="7.375" style="219" customWidth="1"/>
    <col min="5" max="5" width="9" style="219" bestFit="1" customWidth="1"/>
    <col min="6" max="6" width="17" style="219" bestFit="1" customWidth="1"/>
    <col min="7" max="7" width="35" style="219" bestFit="1" customWidth="1"/>
    <col min="8" max="8" width="67" style="219" customWidth="1"/>
    <col min="9" max="9" width="8.375" style="219" customWidth="1"/>
    <col min="10" max="10" width="18.125" style="219" bestFit="1" customWidth="1"/>
    <col min="11" max="11" width="5.875" style="219" bestFit="1" customWidth="1"/>
    <col min="12" max="12" width="56.375" style="219" customWidth="1"/>
    <col min="13" max="16384" width="8.375" style="219"/>
  </cols>
  <sheetData>
    <row r="1" spans="1:13" ht="53.1" thickBot="1">
      <c r="A1" s="217" t="s">
        <v>50</v>
      </c>
      <c r="B1" s="346" t="s">
        <v>108</v>
      </c>
      <c r="C1" s="347"/>
      <c r="D1" s="217" t="s">
        <v>109</v>
      </c>
      <c r="E1" s="217" t="s">
        <v>110</v>
      </c>
      <c r="F1" s="217" t="s">
        <v>198</v>
      </c>
      <c r="G1" s="217" t="s">
        <v>199</v>
      </c>
      <c r="H1" s="217" t="s">
        <v>111</v>
      </c>
      <c r="I1" s="218" t="s">
        <v>112</v>
      </c>
      <c r="J1" s="217" t="s">
        <v>3</v>
      </c>
      <c r="K1" s="217" t="s">
        <v>113</v>
      </c>
      <c r="L1" s="217" t="s">
        <v>115</v>
      </c>
      <c r="M1" s="203"/>
    </row>
    <row r="2" spans="1:13" ht="27.95">
      <c r="A2" s="317" t="s">
        <v>116</v>
      </c>
      <c r="B2" s="348" t="s">
        <v>341</v>
      </c>
      <c r="C2" s="349"/>
      <c r="D2" s="12" t="s">
        <v>7</v>
      </c>
      <c r="E2" s="178" t="s">
        <v>342</v>
      </c>
      <c r="F2" s="50" t="s">
        <v>343</v>
      </c>
      <c r="G2" s="178" t="s">
        <v>344</v>
      </c>
      <c r="H2" s="12" t="s">
        <v>345</v>
      </c>
      <c r="I2" s="227">
        <v>1</v>
      </c>
      <c r="J2" s="227"/>
      <c r="K2" s="227"/>
      <c r="L2" s="227" t="s">
        <v>346</v>
      </c>
    </row>
    <row r="3" spans="1:13">
      <c r="A3" s="317"/>
      <c r="B3" s="350"/>
      <c r="C3" s="351"/>
      <c r="D3" s="12" t="s">
        <v>7</v>
      </c>
      <c r="E3" s="178" t="s">
        <v>347</v>
      </c>
      <c r="F3" s="50" t="s">
        <v>343</v>
      </c>
      <c r="G3" s="178" t="s">
        <v>348</v>
      </c>
      <c r="H3" s="12" t="s">
        <v>349</v>
      </c>
      <c r="I3" s="227">
        <v>3</v>
      </c>
      <c r="J3" s="227"/>
      <c r="K3" s="227"/>
      <c r="L3" s="227" t="s">
        <v>346</v>
      </c>
    </row>
    <row r="4" spans="1:13" ht="27.95">
      <c r="A4" s="317"/>
      <c r="B4" s="350"/>
      <c r="C4" s="351"/>
      <c r="D4" s="12" t="s">
        <v>7</v>
      </c>
      <c r="E4" s="178" t="s">
        <v>350</v>
      </c>
      <c r="F4" s="50" t="s">
        <v>343</v>
      </c>
      <c r="G4" s="178" t="s">
        <v>351</v>
      </c>
      <c r="H4" s="220" t="s">
        <v>352</v>
      </c>
      <c r="I4" s="227">
        <v>5</v>
      </c>
      <c r="J4" s="227"/>
      <c r="K4" s="227"/>
      <c r="L4" s="227" t="s">
        <v>353</v>
      </c>
    </row>
    <row r="5" spans="1:13">
      <c r="A5" s="317"/>
      <c r="B5" s="350"/>
      <c r="C5" s="351"/>
      <c r="D5" s="12" t="s">
        <v>7</v>
      </c>
      <c r="E5" s="178" t="s">
        <v>354</v>
      </c>
      <c r="F5" s="50" t="s">
        <v>343</v>
      </c>
      <c r="G5" s="178" t="s">
        <v>351</v>
      </c>
      <c r="H5" s="220" t="s">
        <v>355</v>
      </c>
      <c r="I5" s="227">
        <v>5</v>
      </c>
      <c r="J5" s="227"/>
      <c r="K5" s="227"/>
      <c r="L5" s="227" t="s">
        <v>353</v>
      </c>
    </row>
    <row r="6" spans="1:13">
      <c r="A6" s="318"/>
      <c r="B6" s="350"/>
      <c r="C6" s="351"/>
      <c r="D6" s="12" t="s">
        <v>7</v>
      </c>
      <c r="E6" s="178" t="s">
        <v>356</v>
      </c>
      <c r="F6" s="50" t="s">
        <v>343</v>
      </c>
      <c r="G6" s="178" t="s">
        <v>357</v>
      </c>
      <c r="H6" s="12" t="s">
        <v>358</v>
      </c>
      <c r="I6" s="227">
        <v>3</v>
      </c>
      <c r="J6" s="227"/>
      <c r="K6" s="227"/>
      <c r="L6" s="227" t="s">
        <v>359</v>
      </c>
    </row>
    <row r="7" spans="1:13" ht="27.95">
      <c r="A7" s="342"/>
      <c r="B7" s="352"/>
      <c r="C7" s="352"/>
      <c r="D7" s="239" t="s">
        <v>7</v>
      </c>
      <c r="E7" s="178" t="s">
        <v>360</v>
      </c>
      <c r="F7" s="50" t="s">
        <v>361</v>
      </c>
      <c r="G7" s="178" t="s">
        <v>344</v>
      </c>
      <c r="H7" s="12" t="s">
        <v>362</v>
      </c>
      <c r="I7" s="227">
        <v>5</v>
      </c>
      <c r="J7" s="227" t="s">
        <v>363</v>
      </c>
      <c r="K7" s="227"/>
      <c r="L7" s="227"/>
    </row>
    <row r="8" spans="1:13">
      <c r="A8" s="355"/>
      <c r="B8" s="350"/>
      <c r="C8" s="351"/>
      <c r="D8" s="12" t="s">
        <v>7</v>
      </c>
      <c r="E8" s="178" t="s">
        <v>364</v>
      </c>
      <c r="F8" s="50" t="s">
        <v>361</v>
      </c>
      <c r="G8" s="178" t="s">
        <v>351</v>
      </c>
      <c r="H8" s="12" t="s">
        <v>365</v>
      </c>
      <c r="I8" s="227">
        <v>2</v>
      </c>
      <c r="J8" s="227" t="s">
        <v>118</v>
      </c>
      <c r="K8" s="227"/>
      <c r="L8" s="227"/>
    </row>
    <row r="9" spans="1:13">
      <c r="A9" s="342"/>
      <c r="B9" s="352"/>
      <c r="C9" s="352"/>
      <c r="D9" s="239" t="s">
        <v>7</v>
      </c>
      <c r="E9" s="178" t="s">
        <v>366</v>
      </c>
      <c r="F9" s="50" t="s">
        <v>361</v>
      </c>
      <c r="G9" s="178" t="s">
        <v>351</v>
      </c>
      <c r="H9" s="12" t="s">
        <v>367</v>
      </c>
      <c r="I9" s="227">
        <v>2</v>
      </c>
      <c r="J9" s="227" t="s">
        <v>120</v>
      </c>
      <c r="K9" s="227"/>
      <c r="L9" s="227"/>
    </row>
    <row r="10" spans="1:13" ht="14.45" thickBot="1">
      <c r="A10" s="355"/>
      <c r="B10" s="353"/>
      <c r="C10" s="354"/>
      <c r="D10" s="221" t="s">
        <v>7</v>
      </c>
      <c r="E10" s="228" t="s">
        <v>368</v>
      </c>
      <c r="F10" s="50" t="s">
        <v>361</v>
      </c>
      <c r="G10" s="228" t="s">
        <v>351</v>
      </c>
      <c r="H10" s="221" t="s">
        <v>369</v>
      </c>
      <c r="I10" s="229">
        <v>2</v>
      </c>
      <c r="J10" s="229" t="s">
        <v>119</v>
      </c>
      <c r="K10" s="229"/>
      <c r="L10" s="229"/>
    </row>
    <row r="11" spans="1:13" ht="27.95">
      <c r="A11" s="317" t="s">
        <v>122</v>
      </c>
      <c r="B11" s="356" t="s">
        <v>370</v>
      </c>
      <c r="C11" s="357"/>
      <c r="D11" s="40" t="s">
        <v>7</v>
      </c>
      <c r="E11" s="179" t="s">
        <v>342</v>
      </c>
      <c r="F11" s="50" t="s">
        <v>343</v>
      </c>
      <c r="G11" s="179" t="s">
        <v>344</v>
      </c>
      <c r="H11" s="44" t="s">
        <v>345</v>
      </c>
      <c r="I11" s="230"/>
      <c r="J11" s="230"/>
      <c r="K11" s="230"/>
      <c r="L11" s="230" t="s">
        <v>346</v>
      </c>
    </row>
    <row r="12" spans="1:13">
      <c r="A12" s="317"/>
      <c r="B12" s="356"/>
      <c r="C12" s="357"/>
      <c r="D12" s="50" t="s">
        <v>7</v>
      </c>
      <c r="E12" s="178" t="s">
        <v>371</v>
      </c>
      <c r="F12" s="50" t="s">
        <v>361</v>
      </c>
      <c r="G12" s="178" t="s">
        <v>348</v>
      </c>
      <c r="H12" s="41" t="s">
        <v>372</v>
      </c>
      <c r="I12" s="227">
        <v>2</v>
      </c>
      <c r="J12" s="227" t="s">
        <v>118</v>
      </c>
      <c r="K12" s="227"/>
      <c r="L12" s="227" t="s">
        <v>373</v>
      </c>
    </row>
    <row r="13" spans="1:13">
      <c r="A13" s="318"/>
      <c r="B13" s="349"/>
      <c r="C13" s="358"/>
      <c r="D13" s="50" t="s">
        <v>7</v>
      </c>
      <c r="E13" s="178" t="s">
        <v>374</v>
      </c>
      <c r="F13" s="50" t="s">
        <v>361</v>
      </c>
      <c r="G13" s="178" t="s">
        <v>348</v>
      </c>
      <c r="H13" s="41" t="s">
        <v>375</v>
      </c>
      <c r="I13" s="227">
        <v>1</v>
      </c>
      <c r="J13" s="227" t="s">
        <v>118</v>
      </c>
      <c r="K13" s="227"/>
      <c r="L13" s="227" t="s">
        <v>373</v>
      </c>
    </row>
    <row r="14" spans="1:13" ht="42">
      <c r="A14" s="342"/>
      <c r="B14" s="352"/>
      <c r="C14" s="352"/>
      <c r="D14" s="50" t="s">
        <v>7</v>
      </c>
      <c r="E14" s="178" t="s">
        <v>376</v>
      </c>
      <c r="F14" s="50" t="s">
        <v>361</v>
      </c>
      <c r="G14" s="178" t="s">
        <v>357</v>
      </c>
      <c r="H14" s="223" t="s">
        <v>377</v>
      </c>
      <c r="I14" s="227"/>
      <c r="J14" s="227" t="s">
        <v>363</v>
      </c>
      <c r="K14" s="227"/>
      <c r="L14" s="227" t="s">
        <v>378</v>
      </c>
    </row>
    <row r="15" spans="1:13">
      <c r="A15" s="355"/>
      <c r="B15" s="351"/>
      <c r="C15" s="359"/>
      <c r="D15" s="231" t="s">
        <v>7</v>
      </c>
      <c r="E15" s="240" t="s">
        <v>379</v>
      </c>
      <c r="F15" s="50" t="s">
        <v>361</v>
      </c>
      <c r="G15" s="238" t="s">
        <v>357</v>
      </c>
      <c r="H15" s="223" t="s">
        <v>380</v>
      </c>
      <c r="I15" s="227">
        <v>5</v>
      </c>
      <c r="J15" s="227" t="s">
        <v>118</v>
      </c>
      <c r="K15" s="227"/>
      <c r="L15" s="227"/>
    </row>
    <row r="16" spans="1:13">
      <c r="A16" s="342"/>
      <c r="B16" s="352"/>
      <c r="C16" s="352"/>
      <c r="D16" s="50" t="s">
        <v>7</v>
      </c>
      <c r="E16" s="178" t="s">
        <v>381</v>
      </c>
      <c r="F16" s="50" t="s">
        <v>361</v>
      </c>
      <c r="G16" s="178" t="s">
        <v>348</v>
      </c>
      <c r="H16" s="41" t="s">
        <v>382</v>
      </c>
      <c r="I16" s="227">
        <v>1</v>
      </c>
      <c r="J16" s="227" t="s">
        <v>120</v>
      </c>
      <c r="K16" s="227"/>
      <c r="L16" s="227" t="s">
        <v>383</v>
      </c>
    </row>
    <row r="17" spans="1:12">
      <c r="A17" s="342"/>
      <c r="B17" s="352"/>
      <c r="C17" s="352"/>
      <c r="D17" s="50" t="s">
        <v>7</v>
      </c>
      <c r="E17" s="178" t="s">
        <v>384</v>
      </c>
      <c r="F17" s="50" t="s">
        <v>361</v>
      </c>
      <c r="G17" s="178" t="s">
        <v>348</v>
      </c>
      <c r="H17" s="41" t="s">
        <v>385</v>
      </c>
      <c r="I17" s="227">
        <v>5</v>
      </c>
      <c r="J17" s="227" t="s">
        <v>120</v>
      </c>
      <c r="K17" s="227"/>
      <c r="L17" s="227"/>
    </row>
    <row r="18" spans="1:12">
      <c r="A18" s="355"/>
      <c r="B18" s="351"/>
      <c r="C18" s="359"/>
      <c r="D18" s="50" t="s">
        <v>7</v>
      </c>
      <c r="E18" s="178" t="s">
        <v>386</v>
      </c>
      <c r="F18" s="50" t="s">
        <v>361</v>
      </c>
      <c r="G18" s="178" t="s">
        <v>351</v>
      </c>
      <c r="H18" s="41" t="s">
        <v>387</v>
      </c>
      <c r="I18" s="227">
        <v>3</v>
      </c>
      <c r="J18" s="227" t="s">
        <v>118</v>
      </c>
      <c r="K18" s="227"/>
      <c r="L18" s="227"/>
    </row>
    <row r="19" spans="1:12" ht="27.95">
      <c r="A19" s="342"/>
      <c r="B19" s="352"/>
      <c r="C19" s="352"/>
      <c r="D19" s="50" t="s">
        <v>7</v>
      </c>
      <c r="E19" s="178" t="s">
        <v>388</v>
      </c>
      <c r="F19" s="50" t="s">
        <v>361</v>
      </c>
      <c r="G19" s="178" t="s">
        <v>344</v>
      </c>
      <c r="H19" s="41" t="s">
        <v>389</v>
      </c>
      <c r="I19" s="232"/>
      <c r="J19" s="227" t="s">
        <v>363</v>
      </c>
      <c r="K19" s="227"/>
      <c r="L19" s="227" t="s">
        <v>390</v>
      </c>
    </row>
    <row r="20" spans="1:12" ht="28.5" thickBot="1">
      <c r="A20" s="343"/>
      <c r="B20" s="360"/>
      <c r="C20" s="361"/>
      <c r="D20" s="233" t="s">
        <v>7</v>
      </c>
      <c r="E20" s="228" t="s">
        <v>391</v>
      </c>
      <c r="F20" s="50" t="s">
        <v>343</v>
      </c>
      <c r="G20" s="178" t="s">
        <v>348</v>
      </c>
      <c r="H20" s="222" t="s">
        <v>392</v>
      </c>
      <c r="I20" s="229"/>
      <c r="J20" s="229"/>
      <c r="K20" s="229"/>
      <c r="L20" s="229" t="s">
        <v>346</v>
      </c>
    </row>
    <row r="21" spans="1:12">
      <c r="A21" s="355" t="s">
        <v>156</v>
      </c>
      <c r="B21" s="312" t="s">
        <v>393</v>
      </c>
      <c r="C21" s="313"/>
      <c r="D21" s="41" t="s">
        <v>7</v>
      </c>
      <c r="E21" s="178" t="s">
        <v>394</v>
      </c>
      <c r="F21" s="50" t="s">
        <v>361</v>
      </c>
      <c r="G21" s="178" t="s">
        <v>348</v>
      </c>
      <c r="H21" s="41" t="s">
        <v>395</v>
      </c>
      <c r="I21" s="227">
        <v>3</v>
      </c>
      <c r="J21" s="227" t="s">
        <v>119</v>
      </c>
      <c r="K21" s="227"/>
      <c r="L21" s="227"/>
    </row>
    <row r="22" spans="1:12">
      <c r="A22" s="355"/>
      <c r="B22" s="312"/>
      <c r="C22" s="313"/>
      <c r="D22" s="41" t="s">
        <v>7</v>
      </c>
      <c r="E22" s="178" t="s">
        <v>396</v>
      </c>
      <c r="F22" s="50" t="s">
        <v>343</v>
      </c>
      <c r="G22" s="178" t="s">
        <v>348</v>
      </c>
      <c r="H22" s="41" t="s">
        <v>397</v>
      </c>
      <c r="I22" s="227">
        <v>3</v>
      </c>
      <c r="J22" s="227"/>
      <c r="K22" s="227"/>
      <c r="L22" s="227" t="s">
        <v>346</v>
      </c>
    </row>
    <row r="23" spans="1:12">
      <c r="A23" s="342"/>
      <c r="B23" s="342"/>
      <c r="C23" s="342"/>
      <c r="D23" s="50" t="s">
        <v>7</v>
      </c>
      <c r="E23" s="178" t="s">
        <v>398</v>
      </c>
      <c r="F23" s="50" t="s">
        <v>361</v>
      </c>
      <c r="G23" s="178" t="s">
        <v>348</v>
      </c>
      <c r="H23" s="41" t="s">
        <v>399</v>
      </c>
      <c r="I23" s="227">
        <v>1</v>
      </c>
      <c r="J23" s="227" t="s">
        <v>120</v>
      </c>
      <c r="K23" s="227"/>
      <c r="L23" s="227"/>
    </row>
    <row r="24" spans="1:12">
      <c r="A24" s="342"/>
      <c r="B24" s="342"/>
      <c r="C24" s="342"/>
      <c r="D24" s="50" t="s">
        <v>7</v>
      </c>
      <c r="E24" s="178" t="s">
        <v>400</v>
      </c>
      <c r="F24" s="50" t="s">
        <v>361</v>
      </c>
      <c r="G24" s="178" t="s">
        <v>348</v>
      </c>
      <c r="H24" s="41" t="s">
        <v>401</v>
      </c>
      <c r="I24" s="227">
        <v>2</v>
      </c>
      <c r="J24" s="227" t="s">
        <v>120</v>
      </c>
      <c r="K24" s="227"/>
      <c r="L24" s="227"/>
    </row>
    <row r="25" spans="1:12">
      <c r="A25" s="342"/>
      <c r="B25" s="342"/>
      <c r="C25" s="342"/>
      <c r="D25" s="50" t="s">
        <v>7</v>
      </c>
      <c r="E25" s="178" t="s">
        <v>402</v>
      </c>
      <c r="F25" s="50" t="s">
        <v>361</v>
      </c>
      <c r="G25" s="178" t="s">
        <v>348</v>
      </c>
      <c r="H25" s="41" t="s">
        <v>403</v>
      </c>
      <c r="I25" s="227">
        <v>2</v>
      </c>
      <c r="J25" s="227" t="s">
        <v>120</v>
      </c>
      <c r="K25" s="227"/>
      <c r="L25" s="227"/>
    </row>
    <row r="26" spans="1:12">
      <c r="A26" s="355"/>
      <c r="B26" s="312"/>
      <c r="C26" s="313"/>
      <c r="D26" s="41" t="s">
        <v>7</v>
      </c>
      <c r="E26" s="178" t="s">
        <v>404</v>
      </c>
      <c r="F26" s="50" t="s">
        <v>361</v>
      </c>
      <c r="G26" s="178" t="s">
        <v>348</v>
      </c>
      <c r="H26" s="41" t="s">
        <v>405</v>
      </c>
      <c r="I26" s="227">
        <v>2</v>
      </c>
      <c r="J26" s="227" t="s">
        <v>118</v>
      </c>
      <c r="K26" s="227"/>
      <c r="L26" s="227"/>
    </row>
    <row r="27" spans="1:12">
      <c r="A27" s="342"/>
      <c r="B27" s="342"/>
      <c r="C27" s="342"/>
      <c r="D27" s="50" t="s">
        <v>7</v>
      </c>
      <c r="E27" s="178" t="s">
        <v>406</v>
      </c>
      <c r="F27" s="50" t="s">
        <v>361</v>
      </c>
      <c r="G27" s="178" t="s">
        <v>348</v>
      </c>
      <c r="H27" s="223" t="s">
        <v>407</v>
      </c>
      <c r="I27" s="227">
        <v>3</v>
      </c>
      <c r="J27" s="227" t="s">
        <v>120</v>
      </c>
      <c r="K27" s="227"/>
      <c r="L27" s="227"/>
    </row>
    <row r="28" spans="1:12">
      <c r="A28" s="355"/>
      <c r="B28" s="312"/>
      <c r="C28" s="313"/>
      <c r="D28" s="41" t="s">
        <v>7</v>
      </c>
      <c r="E28" s="178" t="s">
        <v>408</v>
      </c>
      <c r="F28" s="50" t="s">
        <v>343</v>
      </c>
      <c r="G28" s="178" t="s">
        <v>357</v>
      </c>
      <c r="H28" s="41" t="s">
        <v>409</v>
      </c>
      <c r="I28" s="227">
        <v>3</v>
      </c>
      <c r="J28" s="227"/>
      <c r="K28" s="227"/>
      <c r="L28" s="227" t="s">
        <v>410</v>
      </c>
    </row>
    <row r="29" spans="1:12">
      <c r="A29" s="355"/>
      <c r="B29" s="312"/>
      <c r="C29" s="313"/>
      <c r="D29" s="41" t="s">
        <v>32</v>
      </c>
      <c r="E29" s="178" t="s">
        <v>411</v>
      </c>
      <c r="F29" s="50" t="s">
        <v>361</v>
      </c>
      <c r="G29" s="178" t="s">
        <v>348</v>
      </c>
      <c r="H29" s="223" t="s">
        <v>412</v>
      </c>
      <c r="I29" s="227">
        <v>3</v>
      </c>
      <c r="J29" s="227" t="s">
        <v>119</v>
      </c>
      <c r="K29" s="227"/>
      <c r="L29" s="227"/>
    </row>
    <row r="30" spans="1:12">
      <c r="A30" s="355"/>
      <c r="B30" s="312"/>
      <c r="C30" s="313"/>
      <c r="D30" s="41" t="s">
        <v>32</v>
      </c>
      <c r="E30" s="178" t="s">
        <v>413</v>
      </c>
      <c r="F30" s="50" t="s">
        <v>361</v>
      </c>
      <c r="G30" s="178" t="s">
        <v>348</v>
      </c>
      <c r="H30" s="41" t="s">
        <v>414</v>
      </c>
      <c r="I30" s="227">
        <v>2</v>
      </c>
      <c r="J30" s="227" t="s">
        <v>119</v>
      </c>
      <c r="K30" s="227"/>
      <c r="L30" s="227"/>
    </row>
    <row r="31" spans="1:12">
      <c r="A31" s="355"/>
      <c r="B31" s="312"/>
      <c r="C31" s="313"/>
      <c r="D31" s="41" t="s">
        <v>32</v>
      </c>
      <c r="E31" s="178" t="s">
        <v>415</v>
      </c>
      <c r="F31" s="50" t="s">
        <v>361</v>
      </c>
      <c r="G31" s="178" t="s">
        <v>348</v>
      </c>
      <c r="H31" s="224" t="s">
        <v>416</v>
      </c>
      <c r="I31" s="227">
        <v>3</v>
      </c>
      <c r="J31" s="227" t="s">
        <v>119</v>
      </c>
      <c r="K31" s="227"/>
      <c r="L31" s="227"/>
    </row>
    <row r="32" spans="1:12" ht="27.95">
      <c r="A32" s="355"/>
      <c r="B32" s="312"/>
      <c r="C32" s="313"/>
      <c r="D32" s="41" t="s">
        <v>32</v>
      </c>
      <c r="E32" s="178" t="s">
        <v>417</v>
      </c>
      <c r="F32" s="50" t="s">
        <v>361</v>
      </c>
      <c r="G32" s="178" t="s">
        <v>418</v>
      </c>
      <c r="H32" s="41" t="s">
        <v>419</v>
      </c>
      <c r="I32" s="227">
        <v>2</v>
      </c>
      <c r="J32" s="227" t="s">
        <v>118</v>
      </c>
      <c r="K32" s="227"/>
      <c r="L32" s="227"/>
    </row>
    <row r="33" spans="1:12">
      <c r="A33" s="355"/>
      <c r="B33" s="312"/>
      <c r="C33" s="313"/>
      <c r="D33" s="70" t="s">
        <v>7</v>
      </c>
      <c r="E33" s="234" t="s">
        <v>420</v>
      </c>
      <c r="F33" s="50" t="s">
        <v>361</v>
      </c>
      <c r="G33" s="234" t="s">
        <v>348</v>
      </c>
      <c r="H33" s="225" t="s">
        <v>421</v>
      </c>
      <c r="I33" s="235">
        <v>3</v>
      </c>
      <c r="J33" s="235" t="s">
        <v>118</v>
      </c>
      <c r="K33" s="235"/>
      <c r="L33" s="235"/>
    </row>
    <row r="34" spans="1:12">
      <c r="A34" s="344" t="s">
        <v>256</v>
      </c>
      <c r="B34" s="317" t="s">
        <v>422</v>
      </c>
      <c r="C34" s="317"/>
      <c r="D34" s="50" t="s">
        <v>7</v>
      </c>
      <c r="E34" s="178" t="s">
        <v>423</v>
      </c>
      <c r="F34" s="50" t="s">
        <v>343</v>
      </c>
      <c r="G34" s="178" t="s">
        <v>424</v>
      </c>
      <c r="H34" s="41" t="s">
        <v>425</v>
      </c>
      <c r="I34" s="236"/>
      <c r="J34" s="227"/>
      <c r="K34" s="227"/>
      <c r="L34" s="227" t="s">
        <v>346</v>
      </c>
    </row>
    <row r="35" spans="1:12">
      <c r="A35" s="344"/>
      <c r="B35" s="317"/>
      <c r="C35" s="317"/>
      <c r="D35" s="50" t="s">
        <v>7</v>
      </c>
      <c r="E35" s="178" t="s">
        <v>426</v>
      </c>
      <c r="F35" s="50" t="s">
        <v>343</v>
      </c>
      <c r="G35" s="178" t="s">
        <v>357</v>
      </c>
      <c r="H35" s="41" t="s">
        <v>427</v>
      </c>
      <c r="I35" s="236"/>
      <c r="J35" s="227"/>
      <c r="K35" s="227"/>
      <c r="L35" s="227" t="s">
        <v>346</v>
      </c>
    </row>
    <row r="36" spans="1:12" ht="27.95">
      <c r="A36" s="340"/>
      <c r="B36" s="318"/>
      <c r="C36" s="318"/>
      <c r="D36" s="50" t="s">
        <v>32</v>
      </c>
      <c r="E36" s="178" t="s">
        <v>428</v>
      </c>
      <c r="F36" s="50" t="s">
        <v>361</v>
      </c>
      <c r="G36" s="178" t="s">
        <v>418</v>
      </c>
      <c r="H36" s="41" t="s">
        <v>429</v>
      </c>
      <c r="I36" s="236"/>
      <c r="J36" s="227" t="s">
        <v>118</v>
      </c>
      <c r="K36" s="227"/>
      <c r="L36" s="227"/>
    </row>
    <row r="37" spans="1:12" ht="27.95">
      <c r="A37" s="342"/>
      <c r="B37" s="342"/>
      <c r="C37" s="342"/>
      <c r="D37" s="50" t="s">
        <v>32</v>
      </c>
      <c r="E37" s="178" t="s">
        <v>430</v>
      </c>
      <c r="F37" s="50" t="s">
        <v>361</v>
      </c>
      <c r="G37" s="178" t="s">
        <v>431</v>
      </c>
      <c r="H37" s="41" t="s">
        <v>432</v>
      </c>
      <c r="I37" s="236"/>
      <c r="J37" s="227" t="s">
        <v>120</v>
      </c>
      <c r="K37" s="227"/>
      <c r="L37" s="227"/>
    </row>
    <row r="38" spans="1:12" ht="27.95">
      <c r="A38" s="345"/>
      <c r="B38" s="343"/>
      <c r="C38" s="343"/>
      <c r="D38" s="50" t="s">
        <v>32</v>
      </c>
      <c r="E38" s="178" t="s">
        <v>433</v>
      </c>
      <c r="F38" s="50" t="s">
        <v>361</v>
      </c>
      <c r="G38" s="178" t="s">
        <v>431</v>
      </c>
      <c r="H38" s="41" t="s">
        <v>434</v>
      </c>
      <c r="I38" s="236"/>
      <c r="J38" s="227" t="s">
        <v>119</v>
      </c>
      <c r="K38" s="227"/>
      <c r="L38" s="227"/>
    </row>
    <row r="39" spans="1:12">
      <c r="A39" s="344"/>
      <c r="B39" s="317"/>
      <c r="C39" s="317"/>
      <c r="D39" s="50" t="s">
        <v>7</v>
      </c>
      <c r="E39" s="178" t="s">
        <v>435</v>
      </c>
      <c r="F39" s="50" t="s">
        <v>343</v>
      </c>
      <c r="G39" s="178" t="s">
        <v>357</v>
      </c>
      <c r="H39" s="41" t="s">
        <v>436</v>
      </c>
      <c r="I39" s="236"/>
      <c r="J39" s="227"/>
      <c r="K39" s="227"/>
      <c r="L39" s="227" t="s">
        <v>346</v>
      </c>
    </row>
    <row r="40" spans="1:12">
      <c r="A40" s="344"/>
      <c r="B40" s="317"/>
      <c r="C40" s="317"/>
      <c r="D40" s="50" t="s">
        <v>7</v>
      </c>
      <c r="E40" s="178" t="s">
        <v>408</v>
      </c>
      <c r="F40" s="50" t="s">
        <v>343</v>
      </c>
      <c r="G40" s="178" t="s">
        <v>357</v>
      </c>
      <c r="H40" s="41" t="s">
        <v>409</v>
      </c>
      <c r="I40" s="236"/>
      <c r="J40" s="227"/>
      <c r="K40" s="227"/>
      <c r="L40" s="227" t="s">
        <v>346</v>
      </c>
    </row>
    <row r="41" spans="1:12" ht="27.95">
      <c r="A41" s="344"/>
      <c r="B41" s="317"/>
      <c r="C41" s="317"/>
      <c r="D41" s="50" t="s">
        <v>7</v>
      </c>
      <c r="E41" s="178" t="s">
        <v>220</v>
      </c>
      <c r="F41" s="50" t="s">
        <v>437</v>
      </c>
      <c r="G41" s="178" t="s">
        <v>438</v>
      </c>
      <c r="H41" s="41" t="s">
        <v>221</v>
      </c>
      <c r="I41" s="236"/>
      <c r="J41" s="227"/>
      <c r="K41" s="227"/>
      <c r="L41" s="227" t="s">
        <v>346</v>
      </c>
    </row>
    <row r="42" spans="1:12" ht="27.95">
      <c r="A42" s="344"/>
      <c r="B42" s="317"/>
      <c r="C42" s="317"/>
      <c r="D42" s="50" t="s">
        <v>7</v>
      </c>
      <c r="E42" s="178" t="s">
        <v>439</v>
      </c>
      <c r="F42" s="50" t="s">
        <v>343</v>
      </c>
      <c r="G42" s="178" t="s">
        <v>357</v>
      </c>
      <c r="H42" s="41" t="s">
        <v>440</v>
      </c>
      <c r="I42" s="236"/>
      <c r="J42" s="227"/>
      <c r="K42" s="227"/>
      <c r="L42" s="227" t="s">
        <v>346</v>
      </c>
    </row>
    <row r="43" spans="1:12" ht="27.95">
      <c r="A43" s="340"/>
      <c r="B43" s="318"/>
      <c r="C43" s="318"/>
      <c r="D43" s="71" t="s">
        <v>32</v>
      </c>
      <c r="E43" s="234" t="s">
        <v>441</v>
      </c>
      <c r="F43" s="50" t="s">
        <v>361</v>
      </c>
      <c r="G43" s="234" t="s">
        <v>431</v>
      </c>
      <c r="H43" s="226" t="s">
        <v>442</v>
      </c>
      <c r="I43" s="237"/>
      <c r="J43" s="235" t="s">
        <v>119</v>
      </c>
      <c r="K43" s="235"/>
      <c r="L43" s="235"/>
    </row>
    <row r="44" spans="1:12">
      <c r="A44" s="335" t="s">
        <v>278</v>
      </c>
      <c r="B44" s="340" t="s">
        <v>443</v>
      </c>
      <c r="C44" s="341"/>
      <c r="D44" s="41" t="s">
        <v>32</v>
      </c>
      <c r="E44" s="178" t="s">
        <v>207</v>
      </c>
      <c r="F44" s="41"/>
      <c r="G44" s="238" t="s">
        <v>444</v>
      </c>
      <c r="H44" s="41" t="s">
        <v>208</v>
      </c>
      <c r="I44" s="227"/>
      <c r="J44" s="227" t="s">
        <v>118</v>
      </c>
      <c r="K44" s="227"/>
      <c r="L44" s="227"/>
    </row>
    <row r="45" spans="1:12">
      <c r="A45" s="335"/>
      <c r="B45" s="312"/>
      <c r="C45" s="313"/>
      <c r="D45" s="41" t="s">
        <v>32</v>
      </c>
      <c r="E45" s="178" t="s">
        <v>210</v>
      </c>
      <c r="F45" s="41"/>
      <c r="G45" s="238" t="s">
        <v>444</v>
      </c>
      <c r="H45" s="41" t="s">
        <v>211</v>
      </c>
      <c r="I45" s="227"/>
      <c r="J45" s="227" t="s">
        <v>118</v>
      </c>
      <c r="K45" s="227"/>
      <c r="L45" s="227"/>
    </row>
    <row r="46" spans="1:12" ht="27.95">
      <c r="A46" s="335"/>
      <c r="B46" s="312"/>
      <c r="C46" s="313"/>
      <c r="D46" s="41" t="s">
        <v>7</v>
      </c>
      <c r="E46" s="178" t="s">
        <v>445</v>
      </c>
      <c r="F46" s="41"/>
      <c r="G46" s="178" t="s">
        <v>446</v>
      </c>
      <c r="H46" s="41" t="s">
        <v>447</v>
      </c>
      <c r="I46" s="227"/>
      <c r="J46" s="227" t="s">
        <v>118</v>
      </c>
      <c r="K46" s="227"/>
      <c r="L46" s="227"/>
    </row>
    <row r="47" spans="1:12" ht="27.95">
      <c r="A47" s="336"/>
      <c r="B47" s="312"/>
      <c r="C47" s="313"/>
      <c r="D47" s="41" t="s">
        <v>7</v>
      </c>
      <c r="E47" s="178" t="s">
        <v>448</v>
      </c>
      <c r="F47" s="41"/>
      <c r="G47" s="178" t="s">
        <v>446</v>
      </c>
      <c r="H47" s="41" t="s">
        <v>449</v>
      </c>
      <c r="I47" s="227"/>
      <c r="J47" s="227" t="s">
        <v>119</v>
      </c>
      <c r="K47" s="227"/>
      <c r="L47" s="227"/>
    </row>
    <row r="48" spans="1:12" ht="27.95">
      <c r="A48" s="337"/>
      <c r="B48" s="342"/>
      <c r="C48" s="342"/>
      <c r="D48" s="50" t="s">
        <v>32</v>
      </c>
      <c r="E48" s="178" t="s">
        <v>450</v>
      </c>
      <c r="F48" s="41" t="s">
        <v>451</v>
      </c>
      <c r="G48" s="178" t="s">
        <v>452</v>
      </c>
      <c r="H48" s="41" t="s">
        <v>453</v>
      </c>
      <c r="I48" s="227"/>
      <c r="J48" s="227" t="s">
        <v>120</v>
      </c>
      <c r="K48" s="227"/>
      <c r="L48" s="227"/>
    </row>
    <row r="49" spans="1:12">
      <c r="A49" s="338"/>
      <c r="B49" s="312"/>
      <c r="C49" s="313"/>
      <c r="D49" s="41" t="s">
        <v>7</v>
      </c>
      <c r="E49" s="178" t="s">
        <v>454</v>
      </c>
      <c r="F49" s="41"/>
      <c r="G49" s="41"/>
      <c r="H49" s="41" t="s">
        <v>455</v>
      </c>
      <c r="I49" s="227"/>
      <c r="J49" s="227"/>
      <c r="K49" s="227"/>
      <c r="L49" s="227" t="s">
        <v>346</v>
      </c>
    </row>
    <row r="50" spans="1:12">
      <c r="A50" s="336"/>
      <c r="B50" s="312"/>
      <c r="C50" s="313"/>
      <c r="D50" s="41" t="s">
        <v>7</v>
      </c>
      <c r="E50" s="178" t="s">
        <v>220</v>
      </c>
      <c r="F50" s="41"/>
      <c r="G50" s="41"/>
      <c r="H50" s="41" t="s">
        <v>221</v>
      </c>
      <c r="I50" s="227"/>
      <c r="J50" s="227"/>
      <c r="K50" s="227"/>
      <c r="L50" s="227" t="s">
        <v>346</v>
      </c>
    </row>
    <row r="51" spans="1:12">
      <c r="A51" s="337"/>
      <c r="B51" s="342"/>
      <c r="C51" s="342"/>
      <c r="D51" s="50" t="s">
        <v>32</v>
      </c>
      <c r="E51" s="178" t="s">
        <v>456</v>
      </c>
      <c r="F51" s="41" t="s">
        <v>361</v>
      </c>
      <c r="G51" s="178" t="s">
        <v>444</v>
      </c>
      <c r="H51" s="41" t="s">
        <v>457</v>
      </c>
      <c r="I51" s="227"/>
      <c r="J51" s="227" t="s">
        <v>120</v>
      </c>
      <c r="K51" s="227"/>
      <c r="L51" s="227"/>
    </row>
    <row r="52" spans="1:12">
      <c r="A52" s="339"/>
      <c r="B52" s="312"/>
      <c r="C52" s="313"/>
      <c r="D52" s="41" t="s">
        <v>32</v>
      </c>
      <c r="E52" s="178" t="s">
        <v>458</v>
      </c>
      <c r="F52" s="41"/>
      <c r="G52" s="238" t="s">
        <v>444</v>
      </c>
      <c r="H52" s="41" t="s">
        <v>459</v>
      </c>
      <c r="I52" s="227"/>
      <c r="J52" s="227" t="s">
        <v>119</v>
      </c>
      <c r="K52" s="227"/>
      <c r="L52" s="227"/>
    </row>
    <row r="53" spans="1:12">
      <c r="A53" s="337"/>
      <c r="B53" s="342"/>
      <c r="C53" s="342"/>
      <c r="D53" s="50" t="s">
        <v>32</v>
      </c>
      <c r="E53" s="178" t="s">
        <v>460</v>
      </c>
      <c r="F53" s="41" t="s">
        <v>361</v>
      </c>
      <c r="G53" s="178" t="s">
        <v>444</v>
      </c>
      <c r="H53" s="41" t="s">
        <v>461</v>
      </c>
      <c r="I53" s="227"/>
      <c r="J53" s="227" t="s">
        <v>120</v>
      </c>
      <c r="K53" s="227"/>
      <c r="L53" s="227"/>
    </row>
    <row r="54" spans="1:12">
      <c r="A54" s="338"/>
      <c r="B54" s="312"/>
      <c r="C54" s="313"/>
      <c r="D54" s="41" t="s">
        <v>32</v>
      </c>
      <c r="E54" s="178" t="s">
        <v>462</v>
      </c>
      <c r="F54" s="41"/>
      <c r="G54" s="238" t="s">
        <v>444</v>
      </c>
      <c r="H54" s="41" t="s">
        <v>463</v>
      </c>
      <c r="I54" s="227"/>
      <c r="J54" s="227" t="s">
        <v>118</v>
      </c>
      <c r="K54" s="227"/>
      <c r="L54" s="227"/>
    </row>
    <row r="55" spans="1:12">
      <c r="A55" s="336"/>
      <c r="B55" s="312"/>
      <c r="C55" s="313"/>
      <c r="D55" s="70" t="s">
        <v>32</v>
      </c>
      <c r="E55" s="234" t="s">
        <v>464</v>
      </c>
      <c r="F55" s="70"/>
      <c r="G55" s="238" t="s">
        <v>444</v>
      </c>
      <c r="H55" s="70" t="s">
        <v>465</v>
      </c>
      <c r="I55" s="235"/>
      <c r="J55" s="235" t="s">
        <v>119</v>
      </c>
      <c r="K55" s="235"/>
      <c r="L55" s="235"/>
    </row>
    <row r="56" spans="1:12" s="41" customFormat="1"/>
    <row r="57" spans="1:12" s="41" customFormat="1"/>
    <row r="58" spans="1:12" s="41" customFormat="1"/>
    <row r="59" spans="1:12" s="41" customFormat="1"/>
    <row r="60" spans="1:12" s="41" customFormat="1"/>
    <row r="61" spans="1:12" s="41" customFormat="1"/>
    <row r="62" spans="1:12" s="41" customFormat="1"/>
    <row r="63" spans="1:12" s="41" customFormat="1"/>
    <row r="64" spans="1:12" s="41" customFormat="1"/>
    <row r="65" s="41" customFormat="1"/>
    <row r="66" s="41" customFormat="1"/>
  </sheetData>
  <mergeCells count="11">
    <mergeCell ref="A44:A55"/>
    <mergeCell ref="B44:C55"/>
    <mergeCell ref="B34:C43"/>
    <mergeCell ref="A34:A43"/>
    <mergeCell ref="B1:C1"/>
    <mergeCell ref="B2:C10"/>
    <mergeCell ref="B21:C33"/>
    <mergeCell ref="A21:A33"/>
    <mergeCell ref="A11:A20"/>
    <mergeCell ref="B11:C20"/>
    <mergeCell ref="A2:A10"/>
  </mergeCells>
  <hyperlinks>
    <hyperlink ref="E4" r:id="rId1" xr:uid="{8EE6E19A-BA39-471E-B899-34E06C994366}"/>
    <hyperlink ref="E2" r:id="rId2" xr:uid="{8FB7297A-0FDE-4F6A-9EC2-9AF8A6039990}"/>
    <hyperlink ref="E3" r:id="rId3" xr:uid="{D43E3D7A-DBA3-48CD-A9F6-CFEEC37D5E4E}"/>
    <hyperlink ref="E5" r:id="rId4" xr:uid="{54698002-1E30-46E3-843A-0084A7674055}"/>
    <hyperlink ref="E6" r:id="rId5" xr:uid="{559AFC80-ECCB-4E0A-8A9F-3FDC7405E903}"/>
    <hyperlink ref="E7" r:id="rId6" xr:uid="{39319217-4F76-48D5-922B-87A9FDB4DA76}"/>
    <hyperlink ref="E9" r:id="rId7" xr:uid="{74499E9B-362A-4925-BE47-0CDE76A9817B}"/>
    <hyperlink ref="E10" r:id="rId8" xr:uid="{AD728998-14D4-45F3-BA6C-D23C457AAD94}"/>
    <hyperlink ref="E8" r:id="rId9" xr:uid="{345820DF-72C8-4FD0-8370-7702C2142833}"/>
    <hyperlink ref="E11" r:id="rId10" xr:uid="{7B42F955-1944-46D9-9519-2AEEB85AFA04}"/>
    <hyperlink ref="E12" r:id="rId11" xr:uid="{C493B0FA-61DC-4BC1-AC9E-CE0EB4BBED50}"/>
    <hyperlink ref="E13" r:id="rId12" xr:uid="{6E704010-0096-4E14-A3C0-59A61C1C7941}"/>
    <hyperlink ref="E14" r:id="rId13" xr:uid="{7D9C7794-FDDD-4B19-AED7-CBB36982110B}"/>
    <hyperlink ref="E16" r:id="rId14" xr:uid="{DF3C6F01-9AE0-43B4-BF52-8EA6C1ECE507}"/>
    <hyperlink ref="E17" r:id="rId15" xr:uid="{CF0035BD-9FC9-457F-8DC3-B08745E6D369}"/>
    <hyperlink ref="E18" r:id="rId16" xr:uid="{A45EDFCE-C285-4541-A47E-AC9499A3AA1E}"/>
    <hyperlink ref="E19" r:id="rId17" xr:uid="{43728468-B509-4AD8-B3A4-78932EF05D9D}"/>
    <hyperlink ref="E20" r:id="rId18" xr:uid="{5A94B041-33C2-491C-A555-ED56DEF862F0}"/>
    <hyperlink ref="E33" r:id="rId19" xr:uid="{C47FEF03-ED80-4146-A03F-45AFB2FA3EDE}"/>
    <hyperlink ref="E32" r:id="rId20" xr:uid="{4A8F7289-7C2D-40DE-9AA7-87CBC500604A}"/>
    <hyperlink ref="E26" r:id="rId21" xr:uid="{FBB482D3-D987-4B44-A1DD-F6E9C762E697}"/>
    <hyperlink ref="E21" r:id="rId22" xr:uid="{E73FF563-5479-4949-80D1-744D48C3137E}"/>
    <hyperlink ref="E22" r:id="rId23" xr:uid="{28C04954-BBA7-44EE-8FDF-3034FCF5B9CB}"/>
    <hyperlink ref="E23" r:id="rId24" xr:uid="{1AB04FCC-B112-4DAD-9E78-2E4DB402D483}"/>
    <hyperlink ref="E24" r:id="rId25" xr:uid="{9E9DC5CE-CC8B-4BB1-A9A7-A5DEC38F31B3}"/>
    <hyperlink ref="E25" r:id="rId26" xr:uid="{38883876-126C-4281-B635-876AE1E7D345}"/>
    <hyperlink ref="E27" r:id="rId27" xr:uid="{B2310C8B-E908-4DF1-825E-0C7EE1AD4DF5}"/>
    <hyperlink ref="E28" r:id="rId28" xr:uid="{625DF21E-8119-4986-96C4-FBBA8213BE82}"/>
    <hyperlink ref="E29" r:id="rId29" xr:uid="{035DAE54-727C-4D6C-BBC7-4259EDF50427}"/>
    <hyperlink ref="E30" r:id="rId30" xr:uid="{FB7F6994-10FD-4577-AC46-59D1EF449D16}"/>
    <hyperlink ref="E31" r:id="rId31" xr:uid="{B6AC06B6-B6EB-4006-BB4F-46D62C354D97}"/>
    <hyperlink ref="G7" r:id="rId32" xr:uid="{DE30E2D5-8034-448E-904A-E4ECCEA84C39}"/>
    <hyperlink ref="G9" r:id="rId33" xr:uid="{5428D01B-0D6D-4E7B-B35F-7BBF704604F9}"/>
    <hyperlink ref="G14" r:id="rId34" xr:uid="{CC0A1F64-2FCB-4FCF-8AAC-79966FFA0C78}"/>
    <hyperlink ref="G16" r:id="rId35" xr:uid="{8351425B-CBAB-4658-A9F7-12D3B5E85758}"/>
    <hyperlink ref="G17" r:id="rId36" xr:uid="{35CCFB1E-51CB-4965-8603-7AA8BB3F4248}"/>
    <hyperlink ref="G19" r:id="rId37" xr:uid="{A5674373-B1BC-4D02-8DD6-2F4CFA24306C}"/>
    <hyperlink ref="G23" r:id="rId38" xr:uid="{9526D124-E36A-478E-989A-667D4D1A97DB}"/>
    <hyperlink ref="G24:G25" r:id="rId39" display="[Multi-Tenancy] Platform Admin Portal" xr:uid="{B5BDA090-EEBF-4C00-AE59-5B2F6E148278}"/>
    <hyperlink ref="G27" r:id="rId40" xr:uid="{117DC39C-336E-44F3-9967-1FAB8B4811B1}"/>
    <hyperlink ref="G37" r:id="rId41" xr:uid="{B67ED647-3D3F-4EB3-9EBE-13FEA1446D1E}"/>
    <hyperlink ref="G48" r:id="rId42" xr:uid="{9FA57D87-1863-41D9-B96D-129D0DF389A0}"/>
    <hyperlink ref="G51" r:id="rId43" xr:uid="{5177B6EE-B155-4463-B715-9FE5FF181E8C}"/>
    <hyperlink ref="G53" r:id="rId44" xr:uid="{009415B1-3AA6-43CD-B5D7-E14A328FC87A}"/>
    <hyperlink ref="G10" r:id="rId45" xr:uid="{694EAADF-6694-404F-AEC7-B6643CBF5B4C}"/>
    <hyperlink ref="G21" r:id="rId46" xr:uid="{92E00EC5-89C8-48F8-A55A-1DE106F2D894}"/>
    <hyperlink ref="G29:G31" r:id="rId47" display="[Multi-Tenancy] Platform Admin Portal" xr:uid="{AD25EEB7-4DB9-4B68-A7D9-21624C65CD9E}"/>
    <hyperlink ref="G38" r:id="rId48" xr:uid="{4C91FEE5-1743-47CB-B56F-BCAA3B43853C}"/>
    <hyperlink ref="G43" r:id="rId49" xr:uid="{4BF25830-D293-4BCE-B565-95DBED99BB27}"/>
    <hyperlink ref="G8" r:id="rId50" xr:uid="{747D6C93-F47E-43C6-9539-3BAA12A49AEB}"/>
    <hyperlink ref="G12" r:id="rId51" xr:uid="{461B2AD8-088B-4E0E-BFB0-6C03DF9EF77E}"/>
    <hyperlink ref="G13" r:id="rId52" xr:uid="{4BE128AD-AD4C-4BF6-878D-1FEFA44A247F}"/>
    <hyperlink ref="G15" r:id="rId53" xr:uid="{42B807FE-2097-4B8E-B36B-02ADCA42DD57}"/>
    <hyperlink ref="G18" r:id="rId54" xr:uid="{95D7566F-62E4-4930-A7EE-59321B4BB2C0}"/>
    <hyperlink ref="G26" r:id="rId55" xr:uid="{D428BA3F-E280-4E2B-A0E7-A248D5FBC209}"/>
    <hyperlink ref="G32" r:id="rId56" xr:uid="{B418CAE0-6611-41DA-B307-8B936EBD6BBD}"/>
    <hyperlink ref="G33" r:id="rId57" xr:uid="{E0C4C47A-5B6B-47CF-AADE-B7357054C1E7}"/>
    <hyperlink ref="G36" r:id="rId58" xr:uid="{24596340-794F-44DE-88C3-044724D1468F}"/>
    <hyperlink ref="G44" r:id="rId59" xr:uid="{C921BC12-EFB1-4C1C-A6F8-EB0472049966}"/>
    <hyperlink ref="G45" r:id="rId60" xr:uid="{71546017-DEE1-4A6F-9047-9957ED128AA5}"/>
    <hyperlink ref="G46" r:id="rId61" xr:uid="{36BADA25-78BB-4FC9-ADB7-10AD3C44BF84}"/>
    <hyperlink ref="E52" r:id="rId62" xr:uid="{2A06B25E-6711-4B3E-9AA1-54FC703069F7}"/>
    <hyperlink ref="E15" r:id="rId63" xr:uid="{B2369C8C-DE18-47EB-B574-6CCA9AE71CC0}"/>
    <hyperlink ref="E34" r:id="rId64" xr:uid="{1CDB5360-C4DE-452D-9B31-449FEF6D321F}"/>
    <hyperlink ref="E35" r:id="rId65" xr:uid="{0970B0D7-3B67-44D2-B901-D450E3AC461E}"/>
    <hyperlink ref="E36" r:id="rId66" xr:uid="{B95F010A-601F-44E3-A859-36FAEF5FD01C}"/>
    <hyperlink ref="E37" r:id="rId67" xr:uid="{9BBACB82-98F6-43C1-8B05-70F2D8FB7D17}"/>
    <hyperlink ref="E38" r:id="rId68" xr:uid="{E8C570B2-975D-4048-BD1C-8BF76499CB22}"/>
    <hyperlink ref="E39" r:id="rId69" xr:uid="{19A8E783-3DC2-4E2D-A316-073D6B9C79E6}"/>
    <hyperlink ref="E40" r:id="rId70" xr:uid="{48367510-00DD-4BDF-99E0-6F96BEE76126}"/>
    <hyperlink ref="E41" r:id="rId71" xr:uid="{C8346B49-1AF0-45D3-8288-2EF31DFB65C1}"/>
    <hyperlink ref="E42" r:id="rId72" xr:uid="{C9A919C4-236D-4A29-99D9-E16C23E97ADD}"/>
    <hyperlink ref="E43" r:id="rId73" xr:uid="{445740EE-3233-4E0B-9049-06C0C35B216D}"/>
    <hyperlink ref="E44" r:id="rId74" xr:uid="{D21BA335-BD26-44E4-AAA6-4857CECFA4BF}"/>
    <hyperlink ref="E45" r:id="rId75" xr:uid="{E6E0091F-2F6D-4593-8B81-8FE23E31C065}"/>
    <hyperlink ref="E46" r:id="rId76" xr:uid="{125F4A2B-A540-4FFE-B902-BC16215E70FE}"/>
    <hyperlink ref="E47" r:id="rId77" xr:uid="{14BE5BEF-6796-4F3B-BC07-D61066709909}"/>
    <hyperlink ref="E48" r:id="rId78" xr:uid="{892D043F-73B5-4B8E-8B8D-CED2188F2E06}"/>
    <hyperlink ref="E49" r:id="rId79" xr:uid="{CFEC2BA7-E100-4D8B-B2B2-2CA55BEDCF5E}"/>
    <hyperlink ref="E50" r:id="rId80" xr:uid="{3B7C306C-D576-454A-A1AF-26C0B50909BD}"/>
    <hyperlink ref="E51" r:id="rId81" xr:uid="{967C86C3-DCA0-4E79-9C49-BAB91AB8DD62}"/>
    <hyperlink ref="E53" r:id="rId82" xr:uid="{91041D09-3070-4B11-8DB0-332950CECCAC}"/>
    <hyperlink ref="E54" r:id="rId83" xr:uid="{0113DCDF-05A7-4A26-B3E7-ED2714CC9EEA}"/>
    <hyperlink ref="E55" r:id="rId84" xr:uid="{D7B0D6D9-734D-4E38-AB23-2C63B956A005}"/>
    <hyperlink ref="G54" r:id="rId85" xr:uid="{F50B2949-6CBD-454F-93E3-2D8E6458F0BE}"/>
    <hyperlink ref="G55" r:id="rId86" xr:uid="{AAF20A94-6E1D-4D4D-8172-25966B66F935}"/>
    <hyperlink ref="G52" r:id="rId87" xr:uid="{917087FC-0A4B-4BEA-8CC2-B899A0D951F8}"/>
    <hyperlink ref="G2" r:id="rId88" xr:uid="{227D87EC-3E3C-453B-BE12-FC17033CF496}"/>
    <hyperlink ref="G3" r:id="rId89" xr:uid="{B6549274-9B72-4503-83B9-C20B01D2DB81}"/>
    <hyperlink ref="G4" r:id="rId90" xr:uid="{7E04B2C5-2166-495F-916B-B3E6F0077EC4}"/>
    <hyperlink ref="G5" r:id="rId91" xr:uid="{AD495173-B20C-4B01-A588-1BB7C299B668}"/>
    <hyperlink ref="G6" r:id="rId92" xr:uid="{BD925BEC-93BA-4D0C-AD63-3F2CC403D4B7}"/>
    <hyperlink ref="G11" r:id="rId93" xr:uid="{3254574C-91E7-4709-A019-0091C534BCD8}"/>
    <hyperlink ref="G20" r:id="rId94" display="https://wiley-global.atlassian.net/browse/CT-12509" xr:uid="{C788FDF9-83DB-455C-B7A6-21C48EA5E301}"/>
    <hyperlink ref="G22" r:id="rId95" display="https://wiley-global.atlassian.net/browse/CT-12509" xr:uid="{871C02E2-D734-4095-8956-12B25A52C975}"/>
    <hyperlink ref="G28" r:id="rId96" xr:uid="{5F5A4F9B-4F06-4D88-8175-0C14EC32EEEE}"/>
    <hyperlink ref="G34" r:id="rId97" xr:uid="{786FDC0E-353B-4928-B215-A1D6A029388C}"/>
    <hyperlink ref="G35" r:id="rId98" xr:uid="{BC360429-6EA5-4085-8262-7CBB79EE7F19}"/>
    <hyperlink ref="G39" r:id="rId99" xr:uid="{2F5F33B5-8882-4C0F-8D93-B2E445579B6C}"/>
    <hyperlink ref="G40" r:id="rId100" xr:uid="{5368ED33-2AF4-4DEC-975C-C39B78DA7247}"/>
    <hyperlink ref="G41" r:id="rId101" xr:uid="{AE299A17-614F-4EFB-8749-48730EBC565A}"/>
    <hyperlink ref="G42" r:id="rId102" xr:uid="{9ACBE048-2785-4ED3-9824-AB2CD4800CA8}"/>
    <hyperlink ref="G47" r:id="rId103" display="https://wiley-global.atlassian.net/browse/CT-13031" xr:uid="{910D8B15-9269-4FDA-8C1A-FDADD5A131DC}"/>
  </hyperlinks>
  <pageMargins left="0.7" right="0.7" top="0.75" bottom="0.75" header="0.3" footer="0.3"/>
  <pageSetup orientation="portrait" r:id="rId10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7605E-CADE-46EF-82F8-9CCD34BC6066}">
  <sheetPr codeName="Sheet5"/>
  <dimension ref="A1:O64"/>
  <sheetViews>
    <sheetView zoomScale="85" zoomScaleNormal="85" workbookViewId="0">
      <pane ySplit="1" topLeftCell="A39" activePane="bottomLeft" state="frozen"/>
      <selection pane="bottomLeft" activeCell="G6" sqref="G6"/>
    </sheetView>
  </sheetViews>
  <sheetFormatPr defaultColWidth="8.375" defaultRowHeight="18" customHeight="1"/>
  <cols>
    <col min="1" max="1" width="9.125" style="203" bestFit="1" customWidth="1"/>
    <col min="2" max="3" width="21.375" style="203" customWidth="1"/>
    <col min="4" max="4" width="40.375" style="203" customWidth="1"/>
    <col min="5" max="5" width="18.125" style="203" customWidth="1"/>
    <col min="6" max="6" width="21.125" style="203" customWidth="1"/>
    <col min="7" max="7" width="80.125" style="203" customWidth="1"/>
    <col min="8" max="8" width="13.375" style="203" bestFit="1" customWidth="1"/>
    <col min="9" max="9" width="24.875" style="203" customWidth="1"/>
    <col min="10" max="10" width="11.875" style="203" bestFit="1" customWidth="1"/>
    <col min="11" max="11" width="76.875" style="203" customWidth="1"/>
    <col min="12" max="12" width="14.375" style="203" bestFit="1" customWidth="1"/>
    <col min="13" max="16384" width="8.375" style="203"/>
  </cols>
  <sheetData>
    <row r="1" spans="1:12" ht="35.1">
      <c r="A1" s="201" t="s">
        <v>50</v>
      </c>
      <c r="B1" s="201" t="s">
        <v>108</v>
      </c>
      <c r="C1" s="201" t="s">
        <v>198</v>
      </c>
      <c r="D1" s="201" t="s">
        <v>199</v>
      </c>
      <c r="E1" s="201" t="s">
        <v>109</v>
      </c>
      <c r="F1" s="201" t="s">
        <v>110</v>
      </c>
      <c r="G1" s="201" t="s">
        <v>111</v>
      </c>
      <c r="H1" s="202" t="s">
        <v>466</v>
      </c>
      <c r="I1" s="201" t="s">
        <v>3</v>
      </c>
      <c r="J1" s="201" t="s">
        <v>113</v>
      </c>
      <c r="K1" s="201" t="s">
        <v>115</v>
      </c>
    </row>
    <row r="2" spans="1:12" ht="17.45">
      <c r="A2" s="370" t="s">
        <v>467</v>
      </c>
      <c r="B2" s="373" t="s">
        <v>468</v>
      </c>
      <c r="C2" s="243"/>
      <c r="D2" s="245"/>
      <c r="E2" s="254" t="s">
        <v>32</v>
      </c>
      <c r="F2" s="255" t="s">
        <v>469</v>
      </c>
      <c r="G2" s="212" t="s">
        <v>470</v>
      </c>
      <c r="H2" s="204"/>
      <c r="I2" s="204" t="s">
        <v>120</v>
      </c>
      <c r="J2" s="204"/>
      <c r="K2" s="205"/>
    </row>
    <row r="3" spans="1:12" ht="35.1">
      <c r="A3" s="371"/>
      <c r="B3" s="374"/>
      <c r="C3" s="243" t="s">
        <v>343</v>
      </c>
      <c r="D3" s="246" t="s">
        <v>471</v>
      </c>
      <c r="E3" s="254" t="s">
        <v>32</v>
      </c>
      <c r="F3" s="255" t="s">
        <v>472</v>
      </c>
      <c r="G3" s="212" t="s">
        <v>473</v>
      </c>
      <c r="H3" s="204"/>
      <c r="I3" s="204" t="s">
        <v>118</v>
      </c>
      <c r="J3" s="204"/>
      <c r="K3" s="206"/>
    </row>
    <row r="4" spans="1:12" ht="35.1">
      <c r="A4" s="371"/>
      <c r="B4" s="374"/>
      <c r="C4" s="243" t="s">
        <v>361</v>
      </c>
      <c r="D4" s="246" t="s">
        <v>474</v>
      </c>
      <c r="E4" s="254" t="s">
        <v>32</v>
      </c>
      <c r="F4" s="255" t="s">
        <v>475</v>
      </c>
      <c r="G4" s="212" t="s">
        <v>476</v>
      </c>
      <c r="H4" s="204"/>
      <c r="I4" s="204" t="s">
        <v>119</v>
      </c>
      <c r="J4" s="204"/>
      <c r="K4" s="206" t="s">
        <v>477</v>
      </c>
    </row>
    <row r="5" spans="1:12" ht="17.45">
      <c r="A5" s="371"/>
      <c r="B5" s="374"/>
      <c r="C5" s="243" t="s">
        <v>361</v>
      </c>
      <c r="D5" s="246" t="s">
        <v>474</v>
      </c>
      <c r="E5" s="254" t="s">
        <v>32</v>
      </c>
      <c r="F5" s="255" t="s">
        <v>478</v>
      </c>
      <c r="G5" s="212" t="s">
        <v>479</v>
      </c>
      <c r="H5" s="204"/>
      <c r="I5" s="204" t="s">
        <v>119</v>
      </c>
      <c r="J5" s="204"/>
      <c r="K5" s="206" t="s">
        <v>480</v>
      </c>
    </row>
    <row r="6" spans="1:12" ht="52.5">
      <c r="A6" s="371"/>
      <c r="B6" s="374"/>
      <c r="C6" s="243"/>
      <c r="D6" s="246" t="s">
        <v>474</v>
      </c>
      <c r="E6" s="254" t="s">
        <v>32</v>
      </c>
      <c r="F6" s="255" t="s">
        <v>481</v>
      </c>
      <c r="G6" s="212" t="s">
        <v>482</v>
      </c>
      <c r="H6" s="204"/>
      <c r="I6" s="204" t="s">
        <v>120</v>
      </c>
      <c r="J6" s="204"/>
      <c r="K6" s="206" t="s">
        <v>483</v>
      </c>
      <c r="L6" s="203" t="s">
        <v>484</v>
      </c>
    </row>
    <row r="7" spans="1:12" ht="35.1">
      <c r="A7" s="371"/>
      <c r="B7" s="374"/>
      <c r="C7" s="243" t="s">
        <v>361</v>
      </c>
      <c r="D7" s="246" t="s">
        <v>474</v>
      </c>
      <c r="E7" s="254" t="s">
        <v>32</v>
      </c>
      <c r="F7" s="255" t="s">
        <v>485</v>
      </c>
      <c r="G7" s="212" t="s">
        <v>486</v>
      </c>
      <c r="H7" s="204"/>
      <c r="I7" s="204" t="s">
        <v>119</v>
      </c>
      <c r="J7" s="204"/>
      <c r="K7" s="206" t="s">
        <v>487</v>
      </c>
    </row>
    <row r="8" spans="1:12" ht="122.45">
      <c r="A8" s="371"/>
      <c r="B8" s="374"/>
      <c r="C8" s="243" t="s">
        <v>361</v>
      </c>
      <c r="D8" s="246" t="s">
        <v>474</v>
      </c>
      <c r="E8" s="254" t="s">
        <v>32</v>
      </c>
      <c r="F8" s="255" t="s">
        <v>488</v>
      </c>
      <c r="G8" s="212" t="s">
        <v>489</v>
      </c>
      <c r="H8" s="204"/>
      <c r="I8" s="204" t="s">
        <v>118</v>
      </c>
      <c r="J8" s="204"/>
      <c r="K8" s="207" t="s">
        <v>490</v>
      </c>
    </row>
    <row r="9" spans="1:12" ht="175.5" thickBot="1">
      <c r="A9" s="372"/>
      <c r="B9" s="375"/>
      <c r="C9" s="243" t="s">
        <v>361</v>
      </c>
      <c r="D9" s="246" t="s">
        <v>474</v>
      </c>
      <c r="E9" s="254" t="s">
        <v>32</v>
      </c>
      <c r="F9" s="255" t="s">
        <v>491</v>
      </c>
      <c r="G9" s="247" t="s">
        <v>492</v>
      </c>
      <c r="H9" s="208"/>
      <c r="I9" s="208" t="s">
        <v>120</v>
      </c>
      <c r="J9" s="208"/>
      <c r="K9" s="209" t="s">
        <v>493</v>
      </c>
    </row>
    <row r="10" spans="1:12" ht="17.45">
      <c r="A10" s="376" t="s">
        <v>494</v>
      </c>
      <c r="B10" s="380"/>
      <c r="C10" s="243" t="s">
        <v>361</v>
      </c>
      <c r="D10" s="241" t="s">
        <v>495</v>
      </c>
      <c r="E10" s="243" t="s">
        <v>32</v>
      </c>
      <c r="F10" s="246" t="s">
        <v>496</v>
      </c>
      <c r="G10" s="248" t="s">
        <v>497</v>
      </c>
      <c r="H10" s="210">
        <v>3</v>
      </c>
      <c r="I10" s="210" t="s">
        <v>120</v>
      </c>
      <c r="J10" s="210"/>
      <c r="K10" s="210"/>
    </row>
    <row r="11" spans="1:12" ht="17.45">
      <c r="A11" s="376"/>
      <c r="B11" s="381"/>
      <c r="C11" s="243" t="s">
        <v>361</v>
      </c>
      <c r="D11" s="241" t="s">
        <v>495</v>
      </c>
      <c r="E11" s="243" t="s">
        <v>32</v>
      </c>
      <c r="F11" s="246" t="s">
        <v>498</v>
      </c>
      <c r="G11" s="212" t="s">
        <v>499</v>
      </c>
      <c r="H11" s="204">
        <v>3</v>
      </c>
      <c r="I11" s="204" t="s">
        <v>118</v>
      </c>
      <c r="J11" s="204"/>
      <c r="K11" s="204"/>
    </row>
    <row r="12" spans="1:12" ht="17.45">
      <c r="A12" s="376"/>
      <c r="B12" s="381"/>
      <c r="C12" s="243" t="s">
        <v>361</v>
      </c>
      <c r="D12" s="241" t="s">
        <v>495</v>
      </c>
      <c r="E12" s="243" t="s">
        <v>32</v>
      </c>
      <c r="F12" s="246" t="s">
        <v>500</v>
      </c>
      <c r="G12" s="212" t="s">
        <v>501</v>
      </c>
      <c r="H12" s="204">
        <v>5</v>
      </c>
      <c r="I12" s="204" t="s">
        <v>120</v>
      </c>
      <c r="J12" s="204"/>
      <c r="K12" s="204"/>
    </row>
    <row r="13" spans="1:12" ht="17.45">
      <c r="A13" s="376"/>
      <c r="B13" s="381"/>
      <c r="C13" s="243" t="s">
        <v>343</v>
      </c>
      <c r="D13" s="241" t="s">
        <v>502</v>
      </c>
      <c r="E13" s="243" t="s">
        <v>7</v>
      </c>
      <c r="F13" s="246" t="s">
        <v>503</v>
      </c>
      <c r="G13" s="212" t="s">
        <v>504</v>
      </c>
      <c r="H13" s="204">
        <v>1</v>
      </c>
      <c r="I13" s="204"/>
      <c r="J13" s="204"/>
      <c r="K13" s="204" t="s">
        <v>505</v>
      </c>
    </row>
    <row r="14" spans="1:12" ht="17.45">
      <c r="A14" s="376"/>
      <c r="B14" s="381"/>
      <c r="C14" s="243" t="s">
        <v>343</v>
      </c>
      <c r="D14" s="241" t="s">
        <v>495</v>
      </c>
      <c r="E14" s="243" t="s">
        <v>32</v>
      </c>
      <c r="F14" s="246" t="s">
        <v>506</v>
      </c>
      <c r="G14" s="212" t="s">
        <v>507</v>
      </c>
      <c r="H14" s="204">
        <v>3</v>
      </c>
      <c r="I14" s="204"/>
      <c r="J14" s="204"/>
      <c r="K14" s="204" t="s">
        <v>346</v>
      </c>
    </row>
    <row r="15" spans="1:12" ht="17.45">
      <c r="A15" s="376"/>
      <c r="B15" s="381"/>
      <c r="C15" s="243" t="s">
        <v>361</v>
      </c>
      <c r="D15" s="241" t="s">
        <v>495</v>
      </c>
      <c r="E15" s="243" t="s">
        <v>32</v>
      </c>
      <c r="F15" s="246" t="s">
        <v>508</v>
      </c>
      <c r="G15" s="212" t="s">
        <v>509</v>
      </c>
      <c r="H15" s="204">
        <v>5</v>
      </c>
      <c r="I15" s="204" t="s">
        <v>119</v>
      </c>
      <c r="J15" s="204"/>
      <c r="K15" s="204"/>
    </row>
    <row r="16" spans="1:12" ht="17.45">
      <c r="A16" s="376"/>
      <c r="B16" s="381"/>
      <c r="C16" s="243" t="s">
        <v>343</v>
      </c>
      <c r="D16" s="241" t="s">
        <v>502</v>
      </c>
      <c r="E16" s="243" t="s">
        <v>7</v>
      </c>
      <c r="F16" s="246" t="s">
        <v>510</v>
      </c>
      <c r="G16" s="212" t="s">
        <v>511</v>
      </c>
      <c r="H16" s="204">
        <v>3</v>
      </c>
      <c r="I16" s="204"/>
      <c r="J16" s="204"/>
      <c r="K16" s="204" t="s">
        <v>505</v>
      </c>
    </row>
    <row r="17" spans="1:15" ht="17.45">
      <c r="A17" s="376"/>
      <c r="B17" s="381"/>
      <c r="C17" s="243" t="s">
        <v>343</v>
      </c>
      <c r="D17" s="241" t="s">
        <v>512</v>
      </c>
      <c r="E17" s="243" t="s">
        <v>7</v>
      </c>
      <c r="F17" s="241" t="s">
        <v>513</v>
      </c>
      <c r="G17" s="242" t="s">
        <v>514</v>
      </c>
      <c r="H17" s="211">
        <v>2</v>
      </c>
      <c r="I17" s="211"/>
      <c r="J17" s="211"/>
      <c r="K17" s="204" t="s">
        <v>346</v>
      </c>
    </row>
    <row r="18" spans="1:15" thickBot="1">
      <c r="A18" s="377"/>
      <c r="B18" s="382"/>
      <c r="C18" s="243" t="s">
        <v>361</v>
      </c>
      <c r="D18" s="241" t="s">
        <v>495</v>
      </c>
      <c r="E18" s="243" t="s">
        <v>7</v>
      </c>
      <c r="F18" s="241" t="s">
        <v>515</v>
      </c>
      <c r="G18" s="247" t="s">
        <v>516</v>
      </c>
      <c r="H18" s="208">
        <v>3</v>
      </c>
      <c r="I18" s="208" t="s">
        <v>118</v>
      </c>
      <c r="J18" s="208"/>
      <c r="K18" s="208"/>
      <c r="L18" s="204"/>
      <c r="M18" s="204"/>
      <c r="N18" s="204"/>
      <c r="O18" s="204"/>
    </row>
    <row r="19" spans="1:15" ht="17.45">
      <c r="A19" s="378" t="s">
        <v>156</v>
      </c>
      <c r="B19" s="380"/>
      <c r="C19" s="243" t="s">
        <v>343</v>
      </c>
      <c r="D19" s="241" t="s">
        <v>495</v>
      </c>
      <c r="E19" s="243" t="s">
        <v>7</v>
      </c>
      <c r="F19" s="243" t="s">
        <v>517</v>
      </c>
      <c r="G19" s="248" t="s">
        <v>518</v>
      </c>
      <c r="H19" s="210"/>
      <c r="I19" s="210"/>
      <c r="J19" s="210"/>
      <c r="K19" s="366" t="s">
        <v>519</v>
      </c>
      <c r="L19" s="212"/>
      <c r="M19" s="204"/>
      <c r="N19" s="204"/>
      <c r="O19" s="204"/>
    </row>
    <row r="20" spans="1:15" ht="35.1">
      <c r="A20" s="378"/>
      <c r="B20" s="381"/>
      <c r="C20" s="243" t="s">
        <v>343</v>
      </c>
      <c r="D20" s="241" t="s">
        <v>495</v>
      </c>
      <c r="E20" s="243" t="s">
        <v>7</v>
      </c>
      <c r="F20" s="243" t="s">
        <v>520</v>
      </c>
      <c r="G20" s="212" t="s">
        <v>521</v>
      </c>
      <c r="H20" s="204"/>
      <c r="I20" s="204"/>
      <c r="J20" s="204"/>
      <c r="K20" s="367"/>
      <c r="L20" s="212"/>
      <c r="M20" s="204"/>
      <c r="N20" s="204"/>
      <c r="O20" s="204"/>
    </row>
    <row r="21" spans="1:15" ht="17.45">
      <c r="A21" s="378"/>
      <c r="B21" s="381"/>
      <c r="C21" s="243" t="s">
        <v>343</v>
      </c>
      <c r="D21" s="241" t="s">
        <v>495</v>
      </c>
      <c r="E21" s="243" t="s">
        <v>7</v>
      </c>
      <c r="F21" s="243" t="s">
        <v>522</v>
      </c>
      <c r="G21" s="212" t="s">
        <v>523</v>
      </c>
      <c r="H21" s="204"/>
      <c r="I21" s="204"/>
      <c r="J21" s="204"/>
      <c r="K21" s="204" t="s">
        <v>346</v>
      </c>
      <c r="L21" s="212"/>
      <c r="M21" s="204"/>
      <c r="N21" s="204"/>
      <c r="O21" s="204"/>
    </row>
    <row r="22" spans="1:15" ht="17.45">
      <c r="A22" s="378"/>
      <c r="B22" s="381"/>
      <c r="C22" s="243" t="s">
        <v>343</v>
      </c>
      <c r="D22" s="244"/>
      <c r="E22" s="243" t="s">
        <v>32</v>
      </c>
      <c r="F22" s="243" t="s">
        <v>524</v>
      </c>
      <c r="G22" s="212" t="s">
        <v>525</v>
      </c>
      <c r="H22" s="204"/>
      <c r="I22" s="204" t="s">
        <v>284</v>
      </c>
      <c r="J22" s="204"/>
      <c r="K22" s="204"/>
      <c r="L22" s="212"/>
      <c r="M22" s="204"/>
      <c r="N22" s="204"/>
      <c r="O22" s="204"/>
    </row>
    <row r="23" spans="1:15" ht="17.45">
      <c r="A23" s="378"/>
      <c r="B23" s="381"/>
      <c r="C23" s="243" t="s">
        <v>361</v>
      </c>
      <c r="D23" s="241" t="s">
        <v>495</v>
      </c>
      <c r="E23" s="243" t="s">
        <v>7</v>
      </c>
      <c r="F23" s="241" t="s">
        <v>526</v>
      </c>
      <c r="G23" s="212" t="s">
        <v>527</v>
      </c>
      <c r="H23" s="204"/>
      <c r="I23" s="204" t="s">
        <v>118</v>
      </c>
      <c r="J23" s="204"/>
      <c r="K23" s="204" t="s">
        <v>528</v>
      </c>
      <c r="L23" s="212"/>
      <c r="M23" s="204"/>
      <c r="N23" s="204"/>
      <c r="O23" s="204"/>
    </row>
    <row r="24" spans="1:15" ht="17.45">
      <c r="A24" s="378"/>
      <c r="B24" s="381"/>
      <c r="C24" s="243" t="s">
        <v>361</v>
      </c>
      <c r="D24" s="241" t="s">
        <v>495</v>
      </c>
      <c r="E24" s="243" t="s">
        <v>7</v>
      </c>
      <c r="F24" s="243" t="s">
        <v>529</v>
      </c>
      <c r="G24" s="212" t="s">
        <v>530</v>
      </c>
      <c r="H24" s="204"/>
      <c r="I24" s="204"/>
      <c r="J24" s="204"/>
      <c r="K24" s="204" t="s">
        <v>346</v>
      </c>
      <c r="L24" s="212"/>
      <c r="M24" s="204"/>
      <c r="N24" s="204"/>
      <c r="O24" s="204"/>
    </row>
    <row r="25" spans="1:15" ht="17.45">
      <c r="A25" s="378"/>
      <c r="B25" s="381"/>
      <c r="C25" s="243" t="s">
        <v>361</v>
      </c>
      <c r="D25" s="241" t="s">
        <v>495</v>
      </c>
      <c r="E25" s="243" t="s">
        <v>7</v>
      </c>
      <c r="F25" s="241" t="s">
        <v>531</v>
      </c>
      <c r="G25" s="212" t="s">
        <v>532</v>
      </c>
      <c r="H25" s="204"/>
      <c r="I25" s="204" t="s">
        <v>118</v>
      </c>
      <c r="J25" s="204"/>
      <c r="K25" s="204" t="s">
        <v>533</v>
      </c>
    </row>
    <row r="26" spans="1:15" ht="35.1">
      <c r="A26" s="378"/>
      <c r="B26" s="381"/>
      <c r="C26" s="243" t="s">
        <v>343</v>
      </c>
      <c r="D26" s="241" t="s">
        <v>495</v>
      </c>
      <c r="E26" s="243" t="s">
        <v>7</v>
      </c>
      <c r="F26" s="244" t="s">
        <v>534</v>
      </c>
      <c r="G26" s="212" t="s">
        <v>535</v>
      </c>
      <c r="H26" s="204"/>
      <c r="I26" s="204" t="s">
        <v>536</v>
      </c>
      <c r="J26" s="204"/>
      <c r="K26" s="204" t="s">
        <v>528</v>
      </c>
    </row>
    <row r="27" spans="1:15" ht="17.45">
      <c r="A27" s="378"/>
      <c r="B27" s="381"/>
      <c r="C27" s="243" t="s">
        <v>361</v>
      </c>
      <c r="D27" s="241" t="s">
        <v>495</v>
      </c>
      <c r="E27" s="243" t="s">
        <v>7</v>
      </c>
      <c r="F27" s="243" t="s">
        <v>537</v>
      </c>
      <c r="G27" s="212" t="s">
        <v>538</v>
      </c>
      <c r="H27" s="204"/>
      <c r="I27" s="204" t="s">
        <v>536</v>
      </c>
      <c r="J27" s="204"/>
      <c r="K27" s="204" t="s">
        <v>539</v>
      </c>
    </row>
    <row r="28" spans="1:15" ht="17.45">
      <c r="A28" s="378"/>
      <c r="B28" s="381"/>
      <c r="C28" s="243" t="s">
        <v>361</v>
      </c>
      <c r="D28" s="241" t="s">
        <v>495</v>
      </c>
      <c r="E28" s="243" t="s">
        <v>7</v>
      </c>
      <c r="F28" s="243" t="s">
        <v>540</v>
      </c>
      <c r="G28" s="212" t="s">
        <v>541</v>
      </c>
      <c r="H28" s="204"/>
      <c r="I28" s="204"/>
      <c r="J28" s="204"/>
      <c r="K28" s="204" t="s">
        <v>519</v>
      </c>
    </row>
    <row r="29" spans="1:15" ht="17.45">
      <c r="A29" s="378"/>
      <c r="B29" s="381"/>
      <c r="C29" s="243" t="s">
        <v>343</v>
      </c>
      <c r="D29" s="241" t="s">
        <v>502</v>
      </c>
      <c r="E29" s="243" t="s">
        <v>7</v>
      </c>
      <c r="F29" s="243" t="s">
        <v>542</v>
      </c>
      <c r="G29" s="212" t="s">
        <v>543</v>
      </c>
      <c r="H29" s="204"/>
      <c r="I29" s="204"/>
      <c r="J29" s="204"/>
      <c r="K29" s="204" t="s">
        <v>544</v>
      </c>
    </row>
    <row r="30" spans="1:15" ht="17.45">
      <c r="A30" s="378"/>
      <c r="B30" s="381"/>
      <c r="C30" s="243" t="s">
        <v>343</v>
      </c>
      <c r="D30" s="241" t="s">
        <v>502</v>
      </c>
      <c r="E30" s="243" t="s">
        <v>7</v>
      </c>
      <c r="F30" s="243" t="s">
        <v>545</v>
      </c>
      <c r="G30" s="212" t="s">
        <v>546</v>
      </c>
      <c r="H30" s="204"/>
      <c r="I30" s="204"/>
      <c r="J30" s="204"/>
      <c r="K30" s="204" t="s">
        <v>544</v>
      </c>
    </row>
    <row r="31" spans="1:15" ht="35.1">
      <c r="A31" s="378"/>
      <c r="B31" s="381"/>
      <c r="C31" s="243" t="s">
        <v>343</v>
      </c>
      <c r="D31" s="241" t="s">
        <v>502</v>
      </c>
      <c r="E31" s="243" t="s">
        <v>7</v>
      </c>
      <c r="F31" s="243" t="s">
        <v>547</v>
      </c>
      <c r="G31" s="212" t="s">
        <v>548</v>
      </c>
      <c r="H31" s="204"/>
      <c r="I31" s="204"/>
      <c r="J31" s="204"/>
      <c r="K31" s="204" t="s">
        <v>544</v>
      </c>
    </row>
    <row r="32" spans="1:15" ht="35.1">
      <c r="A32" s="378"/>
      <c r="B32" s="381"/>
      <c r="C32" s="243" t="s">
        <v>343</v>
      </c>
      <c r="D32" s="241" t="s">
        <v>502</v>
      </c>
      <c r="E32" s="243" t="s">
        <v>7</v>
      </c>
      <c r="F32" s="243" t="s">
        <v>549</v>
      </c>
      <c r="G32" s="212" t="s">
        <v>550</v>
      </c>
      <c r="H32" s="204"/>
      <c r="I32" s="204"/>
      <c r="J32" s="204"/>
      <c r="K32" s="204" t="s">
        <v>544</v>
      </c>
    </row>
    <row r="33" spans="1:11" ht="17.45">
      <c r="A33" s="378"/>
      <c r="B33" s="381"/>
      <c r="C33" s="243" t="s">
        <v>343</v>
      </c>
      <c r="D33" s="243"/>
      <c r="E33" s="243" t="s">
        <v>7</v>
      </c>
      <c r="F33" s="243" t="s">
        <v>551</v>
      </c>
      <c r="G33" s="242" t="s">
        <v>552</v>
      </c>
      <c r="H33" s="211"/>
      <c r="I33" s="211"/>
      <c r="J33" s="211"/>
      <c r="K33" s="211"/>
    </row>
    <row r="34" spans="1:11" thickBot="1">
      <c r="A34" s="379"/>
      <c r="B34" s="382"/>
      <c r="C34" s="243" t="s">
        <v>361</v>
      </c>
      <c r="D34" s="241" t="s">
        <v>495</v>
      </c>
      <c r="E34" s="243" t="s">
        <v>7</v>
      </c>
      <c r="F34" s="243" t="s">
        <v>515</v>
      </c>
      <c r="G34" s="247" t="s">
        <v>516</v>
      </c>
      <c r="H34" s="208"/>
      <c r="I34" s="208"/>
      <c r="J34" s="208"/>
      <c r="K34" s="208" t="s">
        <v>553</v>
      </c>
    </row>
    <row r="35" spans="1:11" ht="35.1">
      <c r="A35" s="368" t="s">
        <v>256</v>
      </c>
      <c r="B35" s="383"/>
      <c r="C35" s="243" t="s">
        <v>554</v>
      </c>
      <c r="D35" s="246" t="s">
        <v>495</v>
      </c>
      <c r="E35" s="243" t="s">
        <v>7</v>
      </c>
      <c r="F35" s="241" t="s">
        <v>555</v>
      </c>
      <c r="G35" s="212" t="s">
        <v>556</v>
      </c>
      <c r="H35" s="204"/>
      <c r="I35" s="204" t="s">
        <v>557</v>
      </c>
      <c r="J35" s="204"/>
      <c r="K35" s="204" t="s">
        <v>558</v>
      </c>
    </row>
    <row r="36" spans="1:11" ht="17.45">
      <c r="A36" s="368"/>
      <c r="B36" s="384"/>
      <c r="C36" s="243" t="s">
        <v>343</v>
      </c>
      <c r="D36" s="246" t="s">
        <v>471</v>
      </c>
      <c r="E36" s="243" t="s">
        <v>7</v>
      </c>
      <c r="F36" s="241" t="s">
        <v>559</v>
      </c>
      <c r="G36" s="212" t="s">
        <v>560</v>
      </c>
      <c r="H36" s="204"/>
      <c r="I36" s="204"/>
      <c r="J36" s="204"/>
      <c r="K36" s="204" t="s">
        <v>346</v>
      </c>
    </row>
    <row r="37" spans="1:11" ht="17.45">
      <c r="A37" s="368"/>
      <c r="B37" s="384"/>
      <c r="C37" s="243" t="s">
        <v>561</v>
      </c>
      <c r="D37" s="246" t="s">
        <v>471</v>
      </c>
      <c r="E37" s="243" t="s">
        <v>32</v>
      </c>
      <c r="F37" s="241" t="s">
        <v>562</v>
      </c>
      <c r="G37" s="212" t="s">
        <v>563</v>
      </c>
      <c r="H37" s="204"/>
      <c r="I37" s="204" t="s">
        <v>119</v>
      </c>
      <c r="J37" s="204"/>
      <c r="K37" s="204" t="s">
        <v>564</v>
      </c>
    </row>
    <row r="38" spans="1:11" ht="35.1">
      <c r="A38" s="368"/>
      <c r="B38" s="384"/>
      <c r="C38" s="243" t="s">
        <v>361</v>
      </c>
      <c r="D38" s="246" t="s">
        <v>512</v>
      </c>
      <c r="E38" s="243" t="s">
        <v>7</v>
      </c>
      <c r="F38" s="241" t="s">
        <v>565</v>
      </c>
      <c r="G38" s="212" t="s">
        <v>566</v>
      </c>
      <c r="H38" s="204"/>
      <c r="I38" s="204" t="s">
        <v>118</v>
      </c>
      <c r="J38" s="204"/>
      <c r="K38" s="204" t="s">
        <v>567</v>
      </c>
    </row>
    <row r="39" spans="1:11" ht="17.45">
      <c r="A39" s="368"/>
      <c r="B39" s="384"/>
      <c r="C39" s="243" t="s">
        <v>554</v>
      </c>
      <c r="D39" s="246" t="s">
        <v>512</v>
      </c>
      <c r="E39" s="243" t="s">
        <v>7</v>
      </c>
      <c r="F39" s="241" t="s">
        <v>568</v>
      </c>
      <c r="G39" s="212" t="s">
        <v>569</v>
      </c>
      <c r="H39" s="204"/>
      <c r="I39" s="215" t="s">
        <v>120</v>
      </c>
      <c r="J39" s="204"/>
      <c r="K39" s="204" t="s">
        <v>570</v>
      </c>
    </row>
    <row r="40" spans="1:11" ht="35.1">
      <c r="A40" s="368"/>
      <c r="B40" s="384"/>
      <c r="C40" s="243" t="s">
        <v>361</v>
      </c>
      <c r="D40" s="246" t="s">
        <v>344</v>
      </c>
      <c r="E40" s="243" t="s">
        <v>7</v>
      </c>
      <c r="F40" s="241" t="s">
        <v>571</v>
      </c>
      <c r="G40" s="212" t="s">
        <v>572</v>
      </c>
      <c r="H40" s="204"/>
      <c r="I40" s="204" t="s">
        <v>119</v>
      </c>
      <c r="J40" s="204"/>
      <c r="K40" s="204" t="s">
        <v>573</v>
      </c>
    </row>
    <row r="41" spans="1:11" ht="35.1">
      <c r="A41" s="368"/>
      <c r="B41" s="384"/>
      <c r="C41" s="243" t="s">
        <v>343</v>
      </c>
      <c r="D41" s="246" t="s">
        <v>344</v>
      </c>
      <c r="E41" s="243" t="s">
        <v>7</v>
      </c>
      <c r="F41" s="241" t="s">
        <v>574</v>
      </c>
      <c r="G41" s="212" t="s">
        <v>575</v>
      </c>
      <c r="H41" s="204"/>
      <c r="I41" s="204"/>
      <c r="J41" s="204"/>
      <c r="K41" s="204" t="s">
        <v>346</v>
      </c>
    </row>
    <row r="42" spans="1:11" ht="17.45">
      <c r="A42" s="368"/>
      <c r="B42" s="384"/>
      <c r="C42" s="243" t="s">
        <v>343</v>
      </c>
      <c r="D42" s="246" t="s">
        <v>512</v>
      </c>
      <c r="E42" s="243" t="s">
        <v>7</v>
      </c>
      <c r="F42" s="241" t="s">
        <v>576</v>
      </c>
      <c r="G42" s="212" t="s">
        <v>577</v>
      </c>
      <c r="H42" s="204"/>
      <c r="I42" s="204"/>
      <c r="J42" s="204"/>
      <c r="K42" s="204" t="s">
        <v>346</v>
      </c>
    </row>
    <row r="43" spans="1:11" ht="35.1">
      <c r="A43" s="368"/>
      <c r="B43" s="384"/>
      <c r="C43" s="243" t="s">
        <v>361</v>
      </c>
      <c r="D43" s="246" t="s">
        <v>344</v>
      </c>
      <c r="E43" s="243" t="s">
        <v>7</v>
      </c>
      <c r="F43" s="241" t="s">
        <v>578</v>
      </c>
      <c r="G43" s="212" t="s">
        <v>579</v>
      </c>
      <c r="H43" s="204"/>
      <c r="I43" s="215" t="s">
        <v>557</v>
      </c>
      <c r="J43" s="204"/>
      <c r="K43" s="204" t="s">
        <v>558</v>
      </c>
    </row>
    <row r="44" spans="1:11" ht="35.1">
      <c r="A44" s="368"/>
      <c r="B44" s="384"/>
      <c r="C44" s="243" t="s">
        <v>361</v>
      </c>
      <c r="D44" s="246" t="s">
        <v>344</v>
      </c>
      <c r="E44" s="243" t="s">
        <v>7</v>
      </c>
      <c r="F44" s="241" t="s">
        <v>580</v>
      </c>
      <c r="G44" s="212" t="s">
        <v>581</v>
      </c>
      <c r="H44" s="204"/>
      <c r="I44" s="204" t="s">
        <v>582</v>
      </c>
      <c r="J44" s="204"/>
      <c r="K44" s="204" t="s">
        <v>583</v>
      </c>
    </row>
    <row r="45" spans="1:11" ht="35.450000000000003" thickBot="1">
      <c r="A45" s="369"/>
      <c r="B45" s="385"/>
      <c r="C45" s="243" t="s">
        <v>361</v>
      </c>
      <c r="D45" s="246" t="s">
        <v>344</v>
      </c>
      <c r="E45" s="243" t="s">
        <v>7</v>
      </c>
      <c r="F45" s="241" t="s">
        <v>584</v>
      </c>
      <c r="G45" s="247" t="s">
        <v>585</v>
      </c>
      <c r="H45" s="208"/>
      <c r="I45" s="208" t="s">
        <v>582</v>
      </c>
      <c r="J45" s="208"/>
      <c r="K45" s="208" t="s">
        <v>586</v>
      </c>
    </row>
    <row r="46" spans="1:11" ht="35.1">
      <c r="A46" s="364" t="s">
        <v>278</v>
      </c>
      <c r="B46" s="383"/>
      <c r="C46" s="243" t="s">
        <v>361</v>
      </c>
      <c r="D46" s="246" t="s">
        <v>344</v>
      </c>
      <c r="E46" s="254" t="s">
        <v>7</v>
      </c>
      <c r="F46" s="254" t="s">
        <v>587</v>
      </c>
      <c r="G46" s="249" t="s">
        <v>588</v>
      </c>
      <c r="H46" s="213"/>
      <c r="I46" s="213" t="s">
        <v>119</v>
      </c>
      <c r="J46" s="213"/>
      <c r="K46" s="213" t="s">
        <v>589</v>
      </c>
    </row>
    <row r="47" spans="1:11" ht="35.1">
      <c r="A47" s="364"/>
      <c r="B47" s="384"/>
      <c r="C47" s="243" t="s">
        <v>361</v>
      </c>
      <c r="D47" s="246" t="s">
        <v>344</v>
      </c>
      <c r="E47" s="254" t="s">
        <v>7</v>
      </c>
      <c r="F47" s="254" t="s">
        <v>590</v>
      </c>
      <c r="G47" s="250" t="s">
        <v>591</v>
      </c>
      <c r="H47" s="214"/>
      <c r="I47" s="214" t="s">
        <v>120</v>
      </c>
      <c r="J47" s="214"/>
      <c r="K47" s="214" t="s">
        <v>528</v>
      </c>
    </row>
    <row r="48" spans="1:11" ht="35.1">
      <c r="A48" s="364"/>
      <c r="B48" s="384"/>
      <c r="C48" s="243" t="s">
        <v>361</v>
      </c>
      <c r="D48" s="246" t="s">
        <v>344</v>
      </c>
      <c r="E48" s="254" t="s">
        <v>7</v>
      </c>
      <c r="F48" s="246" t="s">
        <v>592</v>
      </c>
      <c r="G48" s="250" t="s">
        <v>593</v>
      </c>
      <c r="H48" s="214"/>
      <c r="I48" s="214" t="s">
        <v>118</v>
      </c>
      <c r="J48" s="214"/>
      <c r="K48" s="214" t="s">
        <v>528</v>
      </c>
    </row>
    <row r="49" spans="1:11" ht="17.45">
      <c r="A49" s="364"/>
      <c r="B49" s="384"/>
      <c r="C49" s="243" t="s">
        <v>361</v>
      </c>
      <c r="D49" s="246" t="s">
        <v>594</v>
      </c>
      <c r="E49" s="254" t="s">
        <v>32</v>
      </c>
      <c r="F49" s="254" t="s">
        <v>595</v>
      </c>
      <c r="G49" s="250" t="s">
        <v>596</v>
      </c>
      <c r="H49" s="214"/>
      <c r="I49" s="214" t="s">
        <v>120</v>
      </c>
      <c r="J49" s="214"/>
      <c r="K49" s="214" t="s">
        <v>346</v>
      </c>
    </row>
    <row r="50" spans="1:11" ht="17.45">
      <c r="A50" s="364"/>
      <c r="B50" s="384"/>
      <c r="C50" s="243" t="s">
        <v>343</v>
      </c>
      <c r="D50" s="246" t="s">
        <v>495</v>
      </c>
      <c r="E50" s="254" t="s">
        <v>7</v>
      </c>
      <c r="F50" s="254" t="s">
        <v>597</v>
      </c>
      <c r="G50" s="250" t="s">
        <v>598</v>
      </c>
      <c r="H50" s="214"/>
      <c r="I50" s="214"/>
      <c r="J50" s="214"/>
      <c r="K50" s="214" t="s">
        <v>346</v>
      </c>
    </row>
    <row r="51" spans="1:11" ht="17.45">
      <c r="A51" s="364"/>
      <c r="B51" s="384"/>
      <c r="C51" s="243" t="s">
        <v>343</v>
      </c>
      <c r="D51" s="241" t="s">
        <v>502</v>
      </c>
      <c r="E51" s="254" t="s">
        <v>7</v>
      </c>
      <c r="F51" s="254" t="s">
        <v>599</v>
      </c>
      <c r="G51" s="250" t="s">
        <v>516</v>
      </c>
      <c r="H51" s="214"/>
      <c r="I51" s="214"/>
      <c r="J51" s="214"/>
      <c r="K51" s="214" t="s">
        <v>346</v>
      </c>
    </row>
    <row r="52" spans="1:11" ht="35.1">
      <c r="A52" s="364"/>
      <c r="B52" s="384"/>
      <c r="C52" s="243" t="s">
        <v>343</v>
      </c>
      <c r="D52" s="246" t="s">
        <v>495</v>
      </c>
      <c r="E52" s="254" t="s">
        <v>7</v>
      </c>
      <c r="F52" s="254" t="s">
        <v>600</v>
      </c>
      <c r="G52" s="250" t="s">
        <v>601</v>
      </c>
      <c r="H52" s="214"/>
      <c r="I52" s="214"/>
      <c r="J52" s="214"/>
      <c r="K52" s="214" t="s">
        <v>346</v>
      </c>
    </row>
    <row r="53" spans="1:11" ht="35.1">
      <c r="A53" s="364"/>
      <c r="B53" s="384"/>
      <c r="C53" s="243" t="s">
        <v>361</v>
      </c>
      <c r="D53" s="246" t="s">
        <v>602</v>
      </c>
      <c r="E53" s="254" t="s">
        <v>7</v>
      </c>
      <c r="F53" s="246" t="s">
        <v>603</v>
      </c>
      <c r="G53" s="250" t="s">
        <v>604</v>
      </c>
      <c r="H53" s="214"/>
      <c r="I53" s="214" t="s">
        <v>118</v>
      </c>
      <c r="J53" s="214"/>
      <c r="K53" s="214" t="s">
        <v>528</v>
      </c>
    </row>
    <row r="54" spans="1:11" ht="35.450000000000003" thickBot="1">
      <c r="A54" s="365"/>
      <c r="B54" s="385"/>
      <c r="C54" s="243" t="s">
        <v>343</v>
      </c>
      <c r="D54" s="246" t="s">
        <v>605</v>
      </c>
      <c r="E54" s="254" t="s">
        <v>7</v>
      </c>
      <c r="F54" s="254" t="s">
        <v>606</v>
      </c>
      <c r="G54" s="251" t="s">
        <v>607</v>
      </c>
      <c r="H54" s="216"/>
      <c r="I54" s="216"/>
      <c r="J54" s="216"/>
      <c r="K54" s="216" t="s">
        <v>346</v>
      </c>
    </row>
    <row r="55" spans="1:11" ht="36">
      <c r="A55" s="362" t="s">
        <v>300</v>
      </c>
      <c r="B55" s="383"/>
      <c r="C55" s="243" t="s">
        <v>361</v>
      </c>
      <c r="D55" s="246" t="s">
        <v>344</v>
      </c>
      <c r="E55" s="254" t="s">
        <v>7</v>
      </c>
      <c r="F55" s="254" t="s">
        <v>608</v>
      </c>
      <c r="G55" s="252" t="s">
        <v>609</v>
      </c>
      <c r="H55" s="213"/>
      <c r="I55" s="213" t="s">
        <v>610</v>
      </c>
      <c r="J55" s="213"/>
      <c r="K55" s="213" t="s">
        <v>611</v>
      </c>
    </row>
    <row r="56" spans="1:11" ht="18.600000000000001">
      <c r="A56" s="362"/>
      <c r="B56" s="384"/>
      <c r="C56" s="243" t="s">
        <v>612</v>
      </c>
      <c r="D56" s="246" t="s">
        <v>471</v>
      </c>
      <c r="E56" s="254" t="s">
        <v>32</v>
      </c>
      <c r="F56" s="254" t="s">
        <v>613</v>
      </c>
      <c r="G56" s="253" t="s">
        <v>614</v>
      </c>
      <c r="H56" s="214"/>
      <c r="I56" s="214" t="s">
        <v>120</v>
      </c>
      <c r="J56" s="214"/>
      <c r="K56" s="214" t="s">
        <v>615</v>
      </c>
    </row>
    <row r="57" spans="1:11" ht="18.600000000000001">
      <c r="A57" s="362"/>
      <c r="B57" s="384"/>
      <c r="C57" s="243" t="s">
        <v>361</v>
      </c>
      <c r="D57" s="246" t="s">
        <v>495</v>
      </c>
      <c r="E57" s="254" t="s">
        <v>32</v>
      </c>
      <c r="F57" s="246" t="s">
        <v>616</v>
      </c>
      <c r="G57" s="253" t="s">
        <v>617</v>
      </c>
      <c r="H57" s="214"/>
      <c r="I57" s="214" t="s">
        <v>118</v>
      </c>
      <c r="J57" s="214"/>
      <c r="K57" s="214" t="s">
        <v>615</v>
      </c>
    </row>
    <row r="58" spans="1:11" ht="18.600000000000001">
      <c r="A58" s="362"/>
      <c r="B58" s="384"/>
      <c r="C58" s="243" t="s">
        <v>343</v>
      </c>
      <c r="D58" s="246" t="s">
        <v>495</v>
      </c>
      <c r="E58" s="254" t="s">
        <v>7</v>
      </c>
      <c r="F58" s="254" t="s">
        <v>618</v>
      </c>
      <c r="G58" s="253" t="s">
        <v>619</v>
      </c>
      <c r="H58" s="214"/>
      <c r="I58" s="214"/>
      <c r="J58" s="214"/>
      <c r="K58" s="214" t="s">
        <v>346</v>
      </c>
    </row>
    <row r="59" spans="1:11" ht="18.600000000000001">
      <c r="A59" s="362"/>
      <c r="B59" s="384"/>
      <c r="C59" s="243" t="s">
        <v>343</v>
      </c>
      <c r="D59" s="241" t="s">
        <v>502</v>
      </c>
      <c r="E59" s="254" t="s">
        <v>7</v>
      </c>
      <c r="F59" s="254" t="s">
        <v>620</v>
      </c>
      <c r="G59" s="253" t="s">
        <v>621</v>
      </c>
      <c r="H59" s="214"/>
      <c r="I59" s="214"/>
      <c r="J59" s="214"/>
      <c r="K59" s="214" t="s">
        <v>346</v>
      </c>
    </row>
    <row r="60" spans="1:11" ht="18.600000000000001">
      <c r="A60" s="362"/>
      <c r="B60" s="384"/>
      <c r="C60" s="243" t="s">
        <v>343</v>
      </c>
      <c r="D60" s="246" t="s">
        <v>495</v>
      </c>
      <c r="E60" s="254" t="s">
        <v>7</v>
      </c>
      <c r="F60" s="254" t="s">
        <v>622</v>
      </c>
      <c r="G60" s="253" t="s">
        <v>623</v>
      </c>
      <c r="H60" s="214"/>
      <c r="I60" s="214"/>
      <c r="J60" s="214"/>
      <c r="K60" s="214" t="s">
        <v>346</v>
      </c>
    </row>
    <row r="61" spans="1:11" ht="18.600000000000001">
      <c r="A61" s="362"/>
      <c r="B61" s="384"/>
      <c r="C61" s="243" t="s">
        <v>361</v>
      </c>
      <c r="D61" s="246" t="s">
        <v>351</v>
      </c>
      <c r="E61" s="254" t="s">
        <v>7</v>
      </c>
      <c r="F61" s="254" t="s">
        <v>624</v>
      </c>
      <c r="G61" s="253" t="s">
        <v>625</v>
      </c>
      <c r="H61" s="214"/>
      <c r="I61" s="214" t="s">
        <v>119</v>
      </c>
      <c r="J61" s="214"/>
      <c r="K61" s="214" t="s">
        <v>626</v>
      </c>
    </row>
    <row r="62" spans="1:11" ht="36">
      <c r="A62" s="362"/>
      <c r="B62" s="384"/>
      <c r="C62" s="243" t="s">
        <v>361</v>
      </c>
      <c r="D62" s="246" t="s">
        <v>627</v>
      </c>
      <c r="E62" s="254" t="s">
        <v>7</v>
      </c>
      <c r="F62" s="254" t="s">
        <v>628</v>
      </c>
      <c r="G62" s="253" t="s">
        <v>629</v>
      </c>
      <c r="H62" s="214"/>
      <c r="I62" s="214" t="s">
        <v>120</v>
      </c>
      <c r="J62" s="214"/>
      <c r="K62" s="214" t="s">
        <v>630</v>
      </c>
    </row>
    <row r="63" spans="1:11" ht="36">
      <c r="A63" s="362"/>
      <c r="B63" s="384"/>
      <c r="C63" s="243" t="s">
        <v>343</v>
      </c>
      <c r="D63" s="246" t="s">
        <v>605</v>
      </c>
      <c r="E63" s="254" t="s">
        <v>7</v>
      </c>
      <c r="F63" s="254" t="s">
        <v>631</v>
      </c>
      <c r="G63" s="253" t="s">
        <v>632</v>
      </c>
      <c r="H63" s="214"/>
      <c r="I63" s="214"/>
      <c r="J63" s="214"/>
      <c r="K63" s="214" t="s">
        <v>346</v>
      </c>
    </row>
    <row r="64" spans="1:11" ht="36">
      <c r="A64" s="363"/>
      <c r="B64" s="386"/>
      <c r="C64" s="243" t="s">
        <v>633</v>
      </c>
      <c r="D64" s="246" t="s">
        <v>344</v>
      </c>
      <c r="E64" s="254" t="s">
        <v>7</v>
      </c>
      <c r="F64" s="254" t="s">
        <v>634</v>
      </c>
      <c r="G64" s="253" t="s">
        <v>635</v>
      </c>
      <c r="H64" s="214"/>
      <c r="I64" s="214" t="s">
        <v>119</v>
      </c>
      <c r="J64" s="214"/>
      <c r="K64" s="214" t="s">
        <v>615</v>
      </c>
    </row>
  </sheetData>
  <mergeCells count="13">
    <mergeCell ref="A55:A64"/>
    <mergeCell ref="A46:A54"/>
    <mergeCell ref="K19:K20"/>
    <mergeCell ref="A35:A45"/>
    <mergeCell ref="A2:A9"/>
    <mergeCell ref="B2:B9"/>
    <mergeCell ref="A10:A18"/>
    <mergeCell ref="A19:A34"/>
    <mergeCell ref="B10:B18"/>
    <mergeCell ref="B19:B34"/>
    <mergeCell ref="B35:B45"/>
    <mergeCell ref="B46:B54"/>
    <mergeCell ref="B55:B64"/>
  </mergeCells>
  <hyperlinks>
    <hyperlink ref="F2" r:id="rId1" xr:uid="{055F1AC0-308C-48DF-894C-EDBCA0AB730A}"/>
    <hyperlink ref="F3" r:id="rId2" xr:uid="{878B2826-B760-4B47-89F6-7C3E444C5C7D}"/>
    <hyperlink ref="F4" r:id="rId3" xr:uid="{7BE213D3-1B03-4436-9C7B-6F957B55E0AD}"/>
    <hyperlink ref="F5" r:id="rId4" xr:uid="{9D4C1B73-73D6-4FEB-BC12-9F28DFB384AA}"/>
    <hyperlink ref="F6" r:id="rId5" xr:uid="{0D9AABD0-07CF-4472-8573-24A3C1CD0892}"/>
    <hyperlink ref="F7" r:id="rId6" xr:uid="{9570D7E7-CB0D-4165-9A26-40253E9E0062}"/>
    <hyperlink ref="F8" r:id="rId7" xr:uid="{CFD482D9-ED90-421E-A4E1-581A9F46820F}"/>
    <hyperlink ref="F9" r:id="rId8" xr:uid="{654973D6-5F62-4193-A7EC-D004F3BA1460}"/>
    <hyperlink ref="K8" r:id="rId9" xr:uid="{B3A91760-DB09-499D-AFF8-BE134FB24588}"/>
    <hyperlink ref="F10" r:id="rId10" xr:uid="{363C2292-A2AE-476E-A2D9-DEDEC2888ED3}"/>
    <hyperlink ref="F11" r:id="rId11" xr:uid="{234C38E2-FFCD-46F8-B091-5B4ED2D0B0F1}"/>
    <hyperlink ref="F12" r:id="rId12" xr:uid="{66A17E03-68FC-4365-9A01-3D86E331985A}"/>
    <hyperlink ref="F13" r:id="rId13" xr:uid="{27D2AC89-FC6C-45BC-B190-A1F6ED1CD85F}"/>
    <hyperlink ref="F14" r:id="rId14" xr:uid="{9EA0BB03-41B4-49F9-81AB-5A7D294B3D95}"/>
    <hyperlink ref="F15" r:id="rId15" xr:uid="{8564C963-934C-4EC5-A082-4119717C0EB3}"/>
    <hyperlink ref="F16" r:id="rId16" xr:uid="{1874DCEF-6B0A-44F2-A9AF-1FC8E7B203D4}"/>
    <hyperlink ref="F18" r:id="rId17" xr:uid="{4DC6D866-1475-4025-B663-B174282788E6}"/>
    <hyperlink ref="F35" r:id="rId18" xr:uid="{B0BCFDFE-C348-4E0F-88E9-FBAAA661C5AF}"/>
    <hyperlink ref="F36" r:id="rId19" xr:uid="{CDA9B2AA-9E10-4132-90B8-5EB5794A5553}"/>
    <hyperlink ref="F37" r:id="rId20" xr:uid="{1E575757-9E8C-44DA-AC40-1EEDE95D9BA0}"/>
    <hyperlink ref="F38" r:id="rId21" xr:uid="{A704EC5A-BBAC-4247-8670-7D2803C012D8}"/>
    <hyperlink ref="F39" r:id="rId22" xr:uid="{6655DFC4-3D71-4A08-A541-ABDD1C822202}"/>
    <hyperlink ref="F40" r:id="rId23" xr:uid="{65343C11-B16F-41F0-8F8C-882CCFE0FA94}"/>
    <hyperlink ref="F41" r:id="rId24" xr:uid="{82880BD8-AB68-49BF-9638-4379A1D2E6A6}"/>
    <hyperlink ref="F42" r:id="rId25" xr:uid="{6AD265FC-4387-46B3-823A-29CDC7B2B2E4}"/>
    <hyperlink ref="F43" r:id="rId26" xr:uid="{14709EC5-4CD9-4B3A-AB20-C5372E286098}"/>
    <hyperlink ref="F44" r:id="rId27" xr:uid="{B32DDC03-62F7-40E0-A219-B7C6DC6FA917}"/>
    <hyperlink ref="F45" r:id="rId28" xr:uid="{4EFAC48F-AC9B-4E41-A4E0-80AF1B64176A}"/>
    <hyperlink ref="D6" r:id="rId29" xr:uid="{D550DE1D-2264-443C-ACBE-DB0874C76CFC}"/>
    <hyperlink ref="D10" r:id="rId30" xr:uid="{9C7FED3C-402A-4524-B507-F89935175001}"/>
    <hyperlink ref="D9" r:id="rId31" xr:uid="{837A5CD2-FD45-4E2C-8914-D87B90716F7E}"/>
    <hyperlink ref="D12" r:id="rId32" xr:uid="{9057A361-229A-4B20-84BB-5E640CDD2CD0}"/>
    <hyperlink ref="D26" r:id="rId33" xr:uid="{1468FD4F-6F12-4301-AC4A-099ABAE54C5B}"/>
    <hyperlink ref="D27" r:id="rId34" xr:uid="{9CAD6A47-CC7C-4FC2-8BA7-262AAEF2AEDB}"/>
    <hyperlink ref="D35" r:id="rId35" xr:uid="{2A910FED-B404-4D18-B2FE-12CE6E6AA423}"/>
    <hyperlink ref="D39" r:id="rId36" xr:uid="{6E8EF800-821F-49E7-9E74-F6F5D7C86715}"/>
    <hyperlink ref="D43" r:id="rId37" xr:uid="{5BA2B434-C2B3-4CA3-9D1A-EDED8CCA5E96}"/>
    <hyperlink ref="D47" r:id="rId38" xr:uid="{981200BE-4C71-4A17-826C-EFBD4C743219}"/>
    <hyperlink ref="D49" r:id="rId39" xr:uid="{C27437B9-7C23-4B91-B0CC-4CC7EA6E7575}"/>
    <hyperlink ref="D55" r:id="rId40" xr:uid="{5E5044CA-587F-4851-A4F0-FD7BB26DF8AE}"/>
    <hyperlink ref="D56" r:id="rId41" xr:uid="{C8A75B91-E928-47C1-A3E6-94C0D9C53431}"/>
    <hyperlink ref="D62" r:id="rId42" xr:uid="{E2A69E52-D60C-425B-B576-4066732A93BE}"/>
    <hyperlink ref="D4" r:id="rId43" xr:uid="{781F9821-2B69-4322-BED1-3E94F537A85B}"/>
    <hyperlink ref="D5" r:id="rId44" xr:uid="{0513E134-BDF9-4893-AFAC-108FDB8CC5C6}"/>
    <hyperlink ref="D7" r:id="rId45" xr:uid="{E393FF80-C909-4136-AE17-E624F0F495DA}"/>
    <hyperlink ref="D15" r:id="rId46" xr:uid="{62A75931-9D1D-4F21-814E-56A51DDA2817}"/>
    <hyperlink ref="D40" r:id="rId47" xr:uid="{90F860D9-5D16-4A6A-B2DF-F58C3735D8FC}"/>
    <hyperlink ref="D46" r:id="rId48" xr:uid="{F2643BC6-BCA5-46BF-AAC0-BFB0D4C784A8}"/>
    <hyperlink ref="D61" r:id="rId49" xr:uid="{5CD2CF0F-7D01-464F-92D1-00535494D006}"/>
    <hyperlink ref="D64" r:id="rId50" xr:uid="{59D6A4AF-52DB-4F0F-9082-622510D1320A}"/>
    <hyperlink ref="F57" r:id="rId51" xr:uid="{4A19E620-09C3-417C-A8B1-AC6B63424243}"/>
    <hyperlink ref="D57" r:id="rId52" xr:uid="{DE44E3A2-A6AB-49FF-9C8E-91C53CADE83C}"/>
    <hyperlink ref="D53" r:id="rId53" xr:uid="{90F4FF08-523B-47E9-9CD5-A1ED5A1D87F0}"/>
    <hyperlink ref="D48" r:id="rId54" xr:uid="{B1150637-EAF8-4E33-9775-7BC955C09576}"/>
    <hyperlink ref="D45" r:id="rId55" display="https://wiley-global.atlassian.net/browse/CT-11934" xr:uid="{5D0978B9-8280-47FB-9EAF-3518B87F3A5D}"/>
    <hyperlink ref="D44" r:id="rId56" display="https://wiley-global.atlassian.net/browse/CT-11934" xr:uid="{E77F9A95-8036-44CE-8448-3B491E772120}"/>
    <hyperlink ref="D38" r:id="rId57" xr:uid="{A8AB4BF7-AD82-49CA-B445-D249901E4D8A}"/>
    <hyperlink ref="D3" r:id="rId58" xr:uid="{B7938E3C-4CCE-464C-B038-43A00CC53CD5}"/>
    <hyperlink ref="D8" r:id="rId59" xr:uid="{4F8DDCBB-64EE-4154-9379-48443DD611A6}"/>
    <hyperlink ref="D11" r:id="rId60" display="https://wiley-global.atlassian.net/browse/CT-11930" xr:uid="{D3C94C41-37D5-4961-94A5-4F7E088DB87D}"/>
    <hyperlink ref="D18" r:id="rId61" display="https://wiley-global.atlassian.net/browse/CT-11930" xr:uid="{4BE2AECA-C876-4EC8-A988-F38ABFAD2A60}"/>
    <hyperlink ref="D23" r:id="rId62" display="https://wiley-global.atlassian.net/browse/CT-11930" xr:uid="{55C10436-BFF9-4210-8AED-D95FC75F49FC}"/>
    <hyperlink ref="D25" r:id="rId63" display="https://wiley-global.atlassian.net/browse/CT-11930" xr:uid="{57B56FD3-EAC7-4790-A324-1B96BFB8C5F1}"/>
    <hyperlink ref="F53" r:id="rId64" xr:uid="{2C4EF1B3-222C-4593-BACE-32DD49DC0FD0}"/>
    <hyperlink ref="F48" r:id="rId65" xr:uid="{02881C80-0BBE-4B72-BCD3-29AEBF767BBC}"/>
    <hyperlink ref="F25" r:id="rId66" xr:uid="{637974C5-F162-4447-BEC2-26765C278F22}"/>
    <hyperlink ref="F23" r:id="rId67" xr:uid="{CBB04C4C-F719-4EF8-A729-BAE1C280F912}"/>
    <hyperlink ref="D13" r:id="rId68" xr:uid="{85956F84-B0F6-4F18-94C2-34806CCCBAE4}"/>
    <hyperlink ref="D14" r:id="rId69" xr:uid="{AFD50807-E97B-4F82-9922-3ED77E34528B}"/>
    <hyperlink ref="D16" r:id="rId70" xr:uid="{52828FA4-4BF9-494C-9C68-FDA82E924A65}"/>
    <hyperlink ref="D17" r:id="rId71" xr:uid="{0B82D29B-97DD-4B78-9AF2-952E3D678DC5}"/>
    <hyperlink ref="D19" r:id="rId72" xr:uid="{9C1E0A06-32AE-4A34-BAD1-039EAAE1CF16}"/>
    <hyperlink ref="D20" r:id="rId73" xr:uid="{64D16E88-41B6-4F8C-98AC-DC180A88098B}"/>
    <hyperlink ref="D21" r:id="rId74" xr:uid="{6482CB3F-5590-4DC9-BA79-4C4AEF002833}"/>
    <hyperlink ref="D24" r:id="rId75" display="https://wiley-global.atlassian.net/browse/CT-11930" xr:uid="{C070E3C2-EA99-428E-9CFC-AD102F4D6173}"/>
    <hyperlink ref="D28" r:id="rId76" display="https://wiley-global.atlassian.net/browse/CT-11930" xr:uid="{E7343322-5074-49CB-8D17-75F3A9C747B3}"/>
    <hyperlink ref="D29" r:id="rId77" xr:uid="{F1B7DB72-1A74-4000-BB47-45BD8A5692CE}"/>
    <hyperlink ref="D30" r:id="rId78" xr:uid="{FD9C646D-8BF3-4E61-BBBA-ADCAA0B44306}"/>
    <hyperlink ref="D31" r:id="rId79" xr:uid="{D9DA2995-BFD5-423D-AECA-925A4B7D257E}"/>
    <hyperlink ref="D32" r:id="rId80" xr:uid="{3568EC2E-88EB-42AB-8956-C065FAC65589}"/>
    <hyperlink ref="D34" r:id="rId81" xr:uid="{2F13D5D6-3DA2-471D-B54E-1A2AF27F3BED}"/>
    <hyperlink ref="D36" r:id="rId82" display="https://wiley-global.atlassian.net/browse/CT-12155" xr:uid="{977CA17A-39D5-42EF-BD3C-2A82F98D8169}"/>
    <hyperlink ref="D37" r:id="rId83" display="https://wiley-global.atlassian.net/browse/CT-12155" xr:uid="{C814B071-C098-42A3-90C0-08C5D5EFD7DB}"/>
    <hyperlink ref="D41" r:id="rId84" xr:uid="{3F32EA30-215E-4AFA-BEB3-EB540F124872}"/>
    <hyperlink ref="D42" r:id="rId85" display="https://wiley-global.atlassian.net/browse/CT-11937" xr:uid="{A41ED5F9-6390-4BCA-B1C3-E0A9D07D1CB8}"/>
    <hyperlink ref="D50" r:id="rId86" display="https://wiley-global.atlassian.net/browse/CT-11930" xr:uid="{2F420930-A496-4FA8-A1EA-C63F01A74AC7}"/>
    <hyperlink ref="D51" r:id="rId87" xr:uid="{1465A3C4-B913-4B06-929F-EC7FBE5967EB}"/>
    <hyperlink ref="D52" r:id="rId88" display="https://wiley-global.atlassian.net/browse/CT-11930" xr:uid="{89C35235-3E39-4053-8439-8307303755A1}"/>
    <hyperlink ref="D54" r:id="rId89" xr:uid="{2CD2B43F-70AF-4D65-A433-F8EA414A1242}"/>
    <hyperlink ref="D58" r:id="rId90" display="https://wiley-global.atlassian.net/browse/CT-11930" xr:uid="{601F883A-6877-4D7F-B9B6-97DC1E839E8B}"/>
    <hyperlink ref="D59" r:id="rId91" xr:uid="{C8099852-BA56-4125-A9F8-43D192F54198}"/>
    <hyperlink ref="D60" r:id="rId92" display="https://wiley-global.atlassian.net/browse/CT-11930" xr:uid="{CB1F26D1-A93C-4122-98E1-78179F5D30E3}"/>
    <hyperlink ref="D63" r:id="rId93" xr:uid="{9C2B889C-CDD6-4CE9-B214-A0810FD1195C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6570A-2446-4C6D-A1E6-271B8AA9E48B}">
  <sheetPr codeName="Sheet6"/>
  <dimension ref="A1:I75"/>
  <sheetViews>
    <sheetView topLeftCell="A58" zoomScaleNormal="100" workbookViewId="0">
      <selection activeCell="D61" sqref="D61"/>
    </sheetView>
  </sheetViews>
  <sheetFormatPr defaultRowHeight="14.1"/>
  <cols>
    <col min="1" max="1" width="6.875" bestFit="1" customWidth="1"/>
    <col min="2" max="2" width="8.375" bestFit="1" customWidth="1"/>
    <col min="3" max="3" width="11.375" bestFit="1" customWidth="1"/>
    <col min="4" max="4" width="34" customWidth="1"/>
    <col min="5" max="5" width="56.375" customWidth="1"/>
    <col min="7" max="8" width="11.875" bestFit="1" customWidth="1"/>
    <col min="9" max="9" width="32" customWidth="1"/>
  </cols>
  <sheetData>
    <row r="1" spans="1:9" ht="14.25" customHeight="1">
      <c r="A1" s="53" t="s">
        <v>50</v>
      </c>
      <c r="B1" s="53" t="s">
        <v>108</v>
      </c>
      <c r="C1" s="53" t="s">
        <v>109</v>
      </c>
      <c r="D1" s="53" t="s">
        <v>110</v>
      </c>
      <c r="E1" s="53" t="s">
        <v>111</v>
      </c>
      <c r="F1" s="180" t="s">
        <v>466</v>
      </c>
      <c r="G1" s="53" t="s">
        <v>3</v>
      </c>
      <c r="H1" s="53" t="s">
        <v>113</v>
      </c>
      <c r="I1" s="53" t="s">
        <v>115</v>
      </c>
    </row>
    <row r="2" spans="1:9" ht="20.25" customHeight="1">
      <c r="A2" s="387" t="s">
        <v>116</v>
      </c>
      <c r="B2" s="387" t="s">
        <v>59</v>
      </c>
      <c r="C2" s="158" t="s">
        <v>7</v>
      </c>
      <c r="D2" s="178" t="s">
        <v>636</v>
      </c>
      <c r="E2" s="181" t="s">
        <v>637</v>
      </c>
      <c r="F2" s="158" t="s">
        <v>638</v>
      </c>
      <c r="G2" s="158"/>
      <c r="H2" s="158">
        <v>8</v>
      </c>
    </row>
    <row r="3" spans="1:9" ht="13.5" customHeight="1">
      <c r="A3" s="388"/>
      <c r="B3" s="388"/>
      <c r="C3" s="158" t="s">
        <v>32</v>
      </c>
      <c r="D3" s="179" t="s">
        <v>639</v>
      </c>
      <c r="E3" s="181" t="s">
        <v>640</v>
      </c>
      <c r="F3" s="158">
        <v>2</v>
      </c>
      <c r="G3" s="158"/>
      <c r="H3" s="158"/>
      <c r="I3" s="158"/>
    </row>
    <row r="4" spans="1:9" ht="16.5" customHeight="1">
      <c r="A4" s="388"/>
      <c r="B4" s="388"/>
      <c r="C4" s="158" t="s">
        <v>32</v>
      </c>
      <c r="D4" s="179" t="s">
        <v>641</v>
      </c>
      <c r="E4" s="181" t="s">
        <v>642</v>
      </c>
      <c r="F4" s="158">
        <v>2</v>
      </c>
      <c r="G4" s="158"/>
      <c r="H4" s="158"/>
      <c r="I4" s="158"/>
    </row>
    <row r="5" spans="1:9" ht="16.5" customHeight="1">
      <c r="A5" s="388"/>
      <c r="B5" s="388"/>
      <c r="C5" s="158" t="s">
        <v>32</v>
      </c>
      <c r="D5" s="179" t="s">
        <v>643</v>
      </c>
      <c r="E5" s="181" t="s">
        <v>644</v>
      </c>
      <c r="F5" s="158">
        <v>3</v>
      </c>
      <c r="G5" s="158"/>
      <c r="H5" s="158"/>
      <c r="I5" s="158"/>
    </row>
    <row r="6" spans="1:9" ht="14.45">
      <c r="A6" s="388"/>
      <c r="B6" s="388"/>
      <c r="C6" s="158" t="s">
        <v>7</v>
      </c>
      <c r="D6" s="179" t="s">
        <v>645</v>
      </c>
      <c r="E6" s="181" t="s">
        <v>646</v>
      </c>
      <c r="F6" s="158">
        <v>2</v>
      </c>
      <c r="G6" t="s">
        <v>119</v>
      </c>
      <c r="H6" s="158">
        <v>1</v>
      </c>
      <c r="I6" s="158"/>
    </row>
    <row r="7" spans="1:9" ht="14.45">
      <c r="A7" s="388"/>
      <c r="B7" s="388"/>
      <c r="C7" s="158" t="s">
        <v>7</v>
      </c>
      <c r="D7" s="179" t="s">
        <v>647</v>
      </c>
      <c r="E7" s="181" t="s">
        <v>648</v>
      </c>
      <c r="F7" s="158">
        <v>2</v>
      </c>
      <c r="G7" s="158" t="s">
        <v>119</v>
      </c>
      <c r="H7" s="158">
        <v>1</v>
      </c>
      <c r="I7" s="158"/>
    </row>
    <row r="8" spans="1:9" ht="14.45">
      <c r="A8" s="388"/>
      <c r="B8" s="388"/>
      <c r="C8" s="158" t="s">
        <v>32</v>
      </c>
      <c r="D8" s="179" t="s">
        <v>649</v>
      </c>
      <c r="E8" s="181" t="s">
        <v>650</v>
      </c>
      <c r="F8" s="158">
        <v>0</v>
      </c>
      <c r="G8" s="158" t="s">
        <v>284</v>
      </c>
      <c r="H8" s="158">
        <v>1</v>
      </c>
      <c r="I8" s="158"/>
    </row>
    <row r="9" spans="1:9" ht="14.45">
      <c r="A9" s="388"/>
      <c r="B9" s="388"/>
      <c r="C9" s="158" t="s">
        <v>32</v>
      </c>
      <c r="D9" s="179" t="s">
        <v>651</v>
      </c>
      <c r="E9" s="181" t="s">
        <v>652</v>
      </c>
      <c r="F9" s="158">
        <v>3</v>
      </c>
      <c r="G9" s="158" t="s">
        <v>120</v>
      </c>
      <c r="H9" s="158">
        <v>1</v>
      </c>
      <c r="I9" s="158"/>
    </row>
    <row r="10" spans="1:9" ht="14.45">
      <c r="A10" s="388"/>
      <c r="B10" s="388"/>
      <c r="C10" s="158" t="s">
        <v>32</v>
      </c>
      <c r="D10" s="179" t="s">
        <v>653</v>
      </c>
      <c r="E10" s="181" t="s">
        <v>654</v>
      </c>
      <c r="F10" s="158">
        <v>3</v>
      </c>
      <c r="G10" t="s">
        <v>120</v>
      </c>
      <c r="H10" s="158">
        <v>1</v>
      </c>
      <c r="I10" s="158"/>
    </row>
    <row r="11" spans="1:9" ht="29.1">
      <c r="A11" s="388"/>
      <c r="B11" s="388"/>
      <c r="C11" s="158" t="s">
        <v>7</v>
      </c>
      <c r="D11" s="179" t="s">
        <v>655</v>
      </c>
      <c r="E11" s="181" t="s">
        <v>656</v>
      </c>
      <c r="F11" s="158">
        <v>3</v>
      </c>
      <c r="G11" s="158"/>
      <c r="H11" s="158"/>
      <c r="I11" s="158" t="s">
        <v>657</v>
      </c>
    </row>
    <row r="12" spans="1:9" ht="14.45">
      <c r="A12" s="388"/>
      <c r="B12" s="388"/>
      <c r="C12" s="158" t="s">
        <v>7</v>
      </c>
      <c r="D12" s="179" t="s">
        <v>658</v>
      </c>
      <c r="E12" s="181" t="s">
        <v>659</v>
      </c>
      <c r="F12" s="158">
        <v>3</v>
      </c>
      <c r="G12" s="158"/>
      <c r="H12" s="158"/>
      <c r="I12" s="158" t="s">
        <v>657</v>
      </c>
    </row>
    <row r="13" spans="1:9" ht="14.45">
      <c r="A13" s="389"/>
      <c r="B13" s="389"/>
      <c r="C13" s="158" t="s">
        <v>32</v>
      </c>
      <c r="D13" s="179" t="s">
        <v>660</v>
      </c>
      <c r="E13" s="181" t="s">
        <v>661</v>
      </c>
      <c r="F13" s="158">
        <v>3</v>
      </c>
      <c r="G13" s="158" t="s">
        <v>284</v>
      </c>
      <c r="H13" s="158">
        <v>1</v>
      </c>
      <c r="I13" s="158"/>
    </row>
    <row r="14" spans="1:9" ht="14.45">
      <c r="A14" s="387" t="s">
        <v>122</v>
      </c>
      <c r="B14" s="390"/>
      <c r="C14" s="158" t="s">
        <v>7</v>
      </c>
      <c r="D14" s="178" t="s">
        <v>662</v>
      </c>
      <c r="E14" s="182" t="s">
        <v>637</v>
      </c>
      <c r="F14" s="158" t="s">
        <v>638</v>
      </c>
      <c r="G14" s="158"/>
      <c r="H14" s="158"/>
      <c r="I14" s="158"/>
    </row>
    <row r="15" spans="1:9" ht="29.1">
      <c r="A15" s="388"/>
      <c r="B15" s="391"/>
      <c r="C15" s="158" t="s">
        <v>32</v>
      </c>
      <c r="D15" s="179" t="s">
        <v>663</v>
      </c>
      <c r="E15" s="182" t="s">
        <v>664</v>
      </c>
      <c r="F15" s="158">
        <v>3</v>
      </c>
      <c r="G15" s="158" t="s">
        <v>120</v>
      </c>
      <c r="H15" s="158">
        <v>1</v>
      </c>
      <c r="I15" s="158"/>
    </row>
    <row r="16" spans="1:9" ht="29.1">
      <c r="A16" s="388"/>
      <c r="B16" s="391"/>
      <c r="C16" s="158" t="s">
        <v>32</v>
      </c>
      <c r="D16" s="179" t="s">
        <v>665</v>
      </c>
      <c r="E16" s="182" t="s">
        <v>666</v>
      </c>
      <c r="F16" s="158">
        <v>3</v>
      </c>
      <c r="G16" s="158" t="s">
        <v>119</v>
      </c>
      <c r="H16" s="158">
        <v>1</v>
      </c>
      <c r="I16" s="158"/>
    </row>
    <row r="17" spans="1:9" ht="14.45">
      <c r="A17" s="388"/>
      <c r="B17" s="391"/>
      <c r="C17" s="158" t="s">
        <v>32</v>
      </c>
      <c r="D17" s="179" t="s">
        <v>667</v>
      </c>
      <c r="E17" s="182" t="s">
        <v>668</v>
      </c>
      <c r="F17" s="158">
        <v>3</v>
      </c>
      <c r="G17" s="158" t="s">
        <v>118</v>
      </c>
      <c r="H17" s="158">
        <v>2</v>
      </c>
      <c r="I17" s="158"/>
    </row>
    <row r="18" spans="1:9" s="140" customFormat="1" ht="14.45">
      <c r="A18" s="388"/>
      <c r="B18" s="391"/>
      <c r="C18" s="183" t="s">
        <v>32</v>
      </c>
      <c r="D18" s="184" t="s">
        <v>669</v>
      </c>
      <c r="E18" s="185" t="s">
        <v>670</v>
      </c>
      <c r="F18" s="183">
        <v>0</v>
      </c>
      <c r="G18" s="183"/>
      <c r="H18" s="183"/>
      <c r="I18" s="183"/>
    </row>
    <row r="19" spans="1:9" s="140" customFormat="1" ht="14.45">
      <c r="A19" s="388"/>
      <c r="B19" s="391"/>
      <c r="C19" s="183" t="s">
        <v>32</v>
      </c>
      <c r="D19" s="184" t="s">
        <v>671</v>
      </c>
      <c r="E19" s="185" t="s">
        <v>672</v>
      </c>
      <c r="F19" s="183">
        <v>0</v>
      </c>
      <c r="G19" s="183"/>
      <c r="H19" s="183"/>
      <c r="I19" s="183"/>
    </row>
    <row r="20" spans="1:9" ht="14.45">
      <c r="A20" s="388"/>
      <c r="B20" s="391"/>
      <c r="C20" s="158" t="s">
        <v>32</v>
      </c>
      <c r="D20" s="179" t="s">
        <v>673</v>
      </c>
      <c r="E20" s="182" t="s">
        <v>674</v>
      </c>
      <c r="F20" s="158">
        <v>3</v>
      </c>
      <c r="G20" s="158" t="s">
        <v>118</v>
      </c>
      <c r="H20" s="158">
        <v>1</v>
      </c>
      <c r="I20" s="158"/>
    </row>
    <row r="21" spans="1:9" ht="14.45">
      <c r="A21" s="388"/>
      <c r="B21" s="391"/>
      <c r="C21" s="185" t="s">
        <v>32</v>
      </c>
      <c r="D21" s="185" t="s">
        <v>675</v>
      </c>
      <c r="E21" s="185" t="s">
        <v>676</v>
      </c>
      <c r="F21" s="185">
        <v>0</v>
      </c>
      <c r="G21" s="185"/>
      <c r="H21" s="185"/>
      <c r="I21" s="158"/>
    </row>
    <row r="22" spans="1:9" ht="14.45">
      <c r="A22" s="388"/>
      <c r="B22" s="391"/>
      <c r="C22" s="185" t="s">
        <v>32</v>
      </c>
      <c r="D22" s="185" t="s">
        <v>677</v>
      </c>
      <c r="E22" s="185" t="s">
        <v>678</v>
      </c>
      <c r="F22" s="185">
        <v>0</v>
      </c>
      <c r="G22" s="185"/>
      <c r="H22" s="185"/>
      <c r="I22" s="158"/>
    </row>
    <row r="23" spans="1:9" ht="14.45">
      <c r="A23" s="388"/>
      <c r="B23" s="391"/>
      <c r="C23" s="158" t="s">
        <v>32</v>
      </c>
      <c r="D23" s="179" t="s">
        <v>679</v>
      </c>
      <c r="E23" s="182" t="s">
        <v>680</v>
      </c>
      <c r="F23" s="158">
        <v>3</v>
      </c>
      <c r="G23" s="158"/>
      <c r="H23" s="158"/>
      <c r="I23" s="158"/>
    </row>
    <row r="24" spans="1:9" ht="29.1">
      <c r="A24" s="388"/>
      <c r="B24" s="391"/>
      <c r="C24" s="158" t="s">
        <v>32</v>
      </c>
      <c r="D24" s="179" t="s">
        <v>681</v>
      </c>
      <c r="E24" s="182" t="s">
        <v>682</v>
      </c>
      <c r="F24" s="158">
        <v>5</v>
      </c>
      <c r="G24" s="158" t="s">
        <v>119</v>
      </c>
      <c r="H24" s="158">
        <v>2</v>
      </c>
      <c r="I24" s="158"/>
    </row>
    <row r="25" spans="1:9" ht="29.1">
      <c r="A25" s="388"/>
      <c r="B25" s="391"/>
      <c r="C25" s="158" t="s">
        <v>32</v>
      </c>
      <c r="D25" s="179" t="s">
        <v>683</v>
      </c>
      <c r="E25" s="182" t="s">
        <v>684</v>
      </c>
      <c r="F25" s="158">
        <v>0</v>
      </c>
      <c r="G25" s="158"/>
      <c r="H25" s="158"/>
      <c r="I25" s="158"/>
    </row>
    <row r="26" spans="1:9" ht="29.1">
      <c r="A26" s="388"/>
      <c r="B26" s="391"/>
      <c r="C26" s="158" t="s">
        <v>32</v>
      </c>
      <c r="D26" s="179" t="s">
        <v>685</v>
      </c>
      <c r="E26" s="182" t="s">
        <v>686</v>
      </c>
      <c r="F26" s="158">
        <v>5</v>
      </c>
      <c r="G26" s="158" t="s">
        <v>120</v>
      </c>
      <c r="H26" s="158">
        <v>2</v>
      </c>
      <c r="I26" t="s">
        <v>687</v>
      </c>
    </row>
    <row r="27" spans="1:9" ht="29.1">
      <c r="A27" s="388"/>
      <c r="B27" s="391"/>
      <c r="C27" s="183" t="s">
        <v>32</v>
      </c>
      <c r="D27" s="184" t="s">
        <v>688</v>
      </c>
      <c r="E27" s="185" t="s">
        <v>689</v>
      </c>
      <c r="F27" s="183">
        <v>0</v>
      </c>
      <c r="G27" s="183"/>
      <c r="H27" s="183"/>
      <c r="I27" s="158"/>
    </row>
    <row r="28" spans="1:9" ht="29.1">
      <c r="A28" s="388"/>
      <c r="B28" s="391"/>
      <c r="C28" s="183" t="s">
        <v>32</v>
      </c>
      <c r="D28" s="184" t="s">
        <v>690</v>
      </c>
      <c r="E28" s="185" t="s">
        <v>691</v>
      </c>
      <c r="F28" s="183">
        <v>0</v>
      </c>
      <c r="G28" s="183"/>
      <c r="H28" s="183"/>
      <c r="I28" s="158"/>
    </row>
    <row r="29" spans="1:9" ht="43.5">
      <c r="A29" s="388"/>
      <c r="B29" s="391"/>
      <c r="C29" s="158" t="s">
        <v>32</v>
      </c>
      <c r="D29" s="179" t="s">
        <v>692</v>
      </c>
      <c r="E29" s="182" t="s">
        <v>693</v>
      </c>
      <c r="F29" s="158">
        <v>5</v>
      </c>
      <c r="G29" s="158" t="s">
        <v>694</v>
      </c>
      <c r="H29" s="158" t="s">
        <v>695</v>
      </c>
      <c r="I29" s="181" t="s">
        <v>696</v>
      </c>
    </row>
    <row r="30" spans="1:9" ht="29.1">
      <c r="A30" s="388"/>
      <c r="B30" s="391"/>
      <c r="C30" s="183" t="s">
        <v>32</v>
      </c>
      <c r="D30" s="184" t="s">
        <v>697</v>
      </c>
      <c r="E30" s="185" t="s">
        <v>698</v>
      </c>
      <c r="F30" s="183">
        <v>0</v>
      </c>
      <c r="G30" s="183"/>
      <c r="H30" s="183"/>
      <c r="I30" s="158"/>
    </row>
    <row r="31" spans="1:9" ht="29.1">
      <c r="A31" s="388"/>
      <c r="B31" s="391"/>
      <c r="C31" s="183" t="s">
        <v>32</v>
      </c>
      <c r="D31" s="184" t="s">
        <v>699</v>
      </c>
      <c r="E31" s="185" t="s">
        <v>700</v>
      </c>
      <c r="F31" s="183">
        <v>0</v>
      </c>
      <c r="G31" s="183"/>
      <c r="H31" s="183"/>
      <c r="I31" s="158"/>
    </row>
    <row r="32" spans="1:9" ht="29.1">
      <c r="A32" s="389"/>
      <c r="B32" s="392"/>
      <c r="C32" s="158" t="s">
        <v>32</v>
      </c>
      <c r="D32" s="179" t="s">
        <v>701</v>
      </c>
      <c r="E32" s="182" t="s">
        <v>702</v>
      </c>
      <c r="F32" s="158">
        <v>5</v>
      </c>
      <c r="G32" s="158" t="s">
        <v>120</v>
      </c>
      <c r="H32" s="158">
        <v>0</v>
      </c>
      <c r="I32" s="181" t="s">
        <v>703</v>
      </c>
    </row>
    <row r="33" spans="1:9" ht="14.45">
      <c r="A33" s="387" t="s">
        <v>156</v>
      </c>
      <c r="B33" s="390"/>
      <c r="C33" s="158" t="s">
        <v>7</v>
      </c>
      <c r="D33" s="178" t="s">
        <v>704</v>
      </c>
      <c r="E33" s="181" t="s">
        <v>637</v>
      </c>
      <c r="F33" s="158" t="s">
        <v>638</v>
      </c>
      <c r="G33" s="158"/>
      <c r="H33" s="158"/>
      <c r="I33" s="158"/>
    </row>
    <row r="34" spans="1:9" ht="14.45">
      <c r="A34" s="388"/>
      <c r="B34" s="391"/>
      <c r="C34" s="158" t="s">
        <v>32</v>
      </c>
      <c r="D34" s="179" t="s">
        <v>705</v>
      </c>
      <c r="E34" s="182" t="s">
        <v>706</v>
      </c>
      <c r="F34" s="158">
        <v>3</v>
      </c>
      <c r="G34" s="158" t="s">
        <v>119</v>
      </c>
      <c r="H34" s="158">
        <v>1</v>
      </c>
      <c r="I34" s="158"/>
    </row>
    <row r="35" spans="1:9" ht="14.45">
      <c r="A35" s="388"/>
      <c r="B35" s="391"/>
      <c r="C35" s="158" t="s">
        <v>32</v>
      </c>
      <c r="D35" s="179" t="s">
        <v>707</v>
      </c>
      <c r="E35" s="182" t="s">
        <v>708</v>
      </c>
      <c r="F35" s="158">
        <v>2</v>
      </c>
      <c r="G35" s="158" t="s">
        <v>284</v>
      </c>
      <c r="H35" s="158">
        <v>1</v>
      </c>
      <c r="I35" s="158"/>
    </row>
    <row r="36" spans="1:9" ht="14.45">
      <c r="A36" s="388"/>
      <c r="B36" s="391"/>
      <c r="C36" s="158" t="s">
        <v>32</v>
      </c>
      <c r="D36" s="179" t="s">
        <v>709</v>
      </c>
      <c r="E36" s="182" t="s">
        <v>710</v>
      </c>
      <c r="F36" s="158">
        <v>2</v>
      </c>
      <c r="G36" s="158" t="s">
        <v>118</v>
      </c>
      <c r="H36" s="158"/>
      <c r="I36" s="158"/>
    </row>
    <row r="37" spans="1:9" ht="14.45">
      <c r="A37" s="388"/>
      <c r="B37" s="391"/>
      <c r="C37" s="158" t="s">
        <v>32</v>
      </c>
      <c r="D37" s="179" t="s">
        <v>711</v>
      </c>
      <c r="E37" s="182" t="s">
        <v>712</v>
      </c>
      <c r="F37" s="163">
        <v>5</v>
      </c>
      <c r="G37" s="163" t="s">
        <v>119</v>
      </c>
      <c r="H37" s="163">
        <v>1</v>
      </c>
      <c r="I37" s="163"/>
    </row>
    <row r="38" spans="1:9" ht="14.45">
      <c r="A38" s="388"/>
      <c r="B38" s="391"/>
      <c r="C38" s="158" t="s">
        <v>32</v>
      </c>
      <c r="D38" s="179" t="s">
        <v>713</v>
      </c>
      <c r="E38" s="182" t="s">
        <v>714</v>
      </c>
      <c r="F38" s="158">
        <v>5</v>
      </c>
      <c r="G38" s="158" t="s">
        <v>120</v>
      </c>
      <c r="H38" s="158">
        <v>1</v>
      </c>
      <c r="I38" s="158"/>
    </row>
    <row r="39" spans="1:9" ht="29.1">
      <c r="A39" s="388"/>
      <c r="B39" s="391"/>
      <c r="C39" s="158" t="s">
        <v>32</v>
      </c>
      <c r="D39" s="179" t="s">
        <v>715</v>
      </c>
      <c r="E39" s="182" t="s">
        <v>716</v>
      </c>
      <c r="F39" s="158">
        <v>3</v>
      </c>
      <c r="G39" s="158" t="s">
        <v>120</v>
      </c>
      <c r="H39" s="158"/>
      <c r="I39" s="158"/>
    </row>
    <row r="40" spans="1:9" ht="14.45">
      <c r="A40" s="388"/>
      <c r="B40" s="391"/>
      <c r="C40" s="158" t="s">
        <v>32</v>
      </c>
      <c r="D40" s="179" t="s">
        <v>717</v>
      </c>
      <c r="E40" s="182" t="s">
        <v>718</v>
      </c>
      <c r="F40" s="158">
        <v>2</v>
      </c>
      <c r="G40" s="158" t="s">
        <v>118</v>
      </c>
      <c r="H40" s="158"/>
      <c r="I40" s="158"/>
    </row>
    <row r="41" spans="1:9" ht="14.45">
      <c r="A41" s="388"/>
      <c r="B41" s="391"/>
      <c r="C41" s="158" t="s">
        <v>32</v>
      </c>
      <c r="D41" s="179" t="s">
        <v>719</v>
      </c>
      <c r="E41" s="181" t="s">
        <v>720</v>
      </c>
      <c r="F41" s="158">
        <v>3</v>
      </c>
      <c r="G41" s="158"/>
      <c r="H41" s="158"/>
      <c r="I41" s="158"/>
    </row>
    <row r="42" spans="1:9" ht="14.45">
      <c r="A42" s="388"/>
      <c r="B42" s="391"/>
      <c r="C42" s="158" t="s">
        <v>7</v>
      </c>
      <c r="D42" s="179" t="s">
        <v>721</v>
      </c>
      <c r="E42" s="182" t="s">
        <v>722</v>
      </c>
      <c r="F42" s="158">
        <v>5</v>
      </c>
      <c r="G42" s="158"/>
      <c r="H42" s="158"/>
      <c r="I42" s="158"/>
    </row>
    <row r="43" spans="1:9" ht="14.45">
      <c r="A43" s="388"/>
      <c r="B43" s="391"/>
      <c r="C43" s="193" t="s">
        <v>32</v>
      </c>
      <c r="D43" s="194" t="s">
        <v>723</v>
      </c>
      <c r="E43" s="195" t="s">
        <v>724</v>
      </c>
      <c r="F43" s="193">
        <v>2</v>
      </c>
      <c r="G43" s="193" t="s">
        <v>118</v>
      </c>
      <c r="H43" s="193"/>
      <c r="I43" s="193"/>
    </row>
    <row r="44" spans="1:9" ht="29.1">
      <c r="A44" s="387" t="s">
        <v>256</v>
      </c>
      <c r="B44" s="396"/>
      <c r="C44" s="182" t="s">
        <v>7</v>
      </c>
      <c r="D44" s="179" t="s">
        <v>391</v>
      </c>
      <c r="E44" s="182" t="s">
        <v>725</v>
      </c>
      <c r="F44" s="182"/>
      <c r="G44" s="182"/>
      <c r="H44" s="182"/>
      <c r="I44" s="182" t="s">
        <v>726</v>
      </c>
    </row>
    <row r="45" spans="1:9" ht="14.45">
      <c r="A45" s="388"/>
      <c r="B45" s="397"/>
      <c r="C45" s="182" t="s">
        <v>32</v>
      </c>
      <c r="D45" s="179" t="s">
        <v>727</v>
      </c>
      <c r="E45" s="182" t="s">
        <v>728</v>
      </c>
      <c r="F45" s="182"/>
      <c r="G45" s="182" t="s">
        <v>120</v>
      </c>
      <c r="H45" s="182"/>
      <c r="I45" s="182"/>
    </row>
    <row r="46" spans="1:9" ht="14.45">
      <c r="A46" s="388"/>
      <c r="B46" s="397"/>
      <c r="C46" s="182" t="s">
        <v>32</v>
      </c>
      <c r="D46" s="179" t="s">
        <v>729</v>
      </c>
      <c r="E46" s="182" t="s">
        <v>730</v>
      </c>
      <c r="F46" s="182"/>
      <c r="G46" s="182" t="s">
        <v>119</v>
      </c>
      <c r="H46" s="182"/>
      <c r="I46" s="182"/>
    </row>
    <row r="47" spans="1:9" ht="14.45">
      <c r="A47" s="388"/>
      <c r="B47" s="397"/>
      <c r="C47" s="182" t="s">
        <v>32</v>
      </c>
      <c r="D47" s="179" t="s">
        <v>731</v>
      </c>
      <c r="E47" s="182" t="s">
        <v>732</v>
      </c>
      <c r="F47" s="182"/>
      <c r="G47" s="182" t="s">
        <v>119</v>
      </c>
      <c r="H47" s="182"/>
      <c r="I47" s="182"/>
    </row>
    <row r="48" spans="1:9" ht="14.45">
      <c r="A48" s="388"/>
      <c r="B48" s="397"/>
      <c r="C48" s="182" t="s">
        <v>32</v>
      </c>
      <c r="D48" s="179" t="s">
        <v>733</v>
      </c>
      <c r="E48" s="182" t="s">
        <v>734</v>
      </c>
      <c r="F48" s="182"/>
      <c r="G48" s="182" t="s">
        <v>120</v>
      </c>
      <c r="H48" s="182"/>
      <c r="I48" s="182"/>
    </row>
    <row r="49" spans="1:9" ht="14.45">
      <c r="A49" s="388"/>
      <c r="B49" s="397"/>
      <c r="C49" s="182" t="s">
        <v>32</v>
      </c>
      <c r="D49" s="179" t="s">
        <v>735</v>
      </c>
      <c r="E49" s="182" t="s">
        <v>736</v>
      </c>
      <c r="F49" s="182"/>
      <c r="G49" s="182" t="s">
        <v>120</v>
      </c>
      <c r="H49" s="182"/>
      <c r="I49" s="182" t="s">
        <v>737</v>
      </c>
    </row>
    <row r="50" spans="1:9" ht="29.1">
      <c r="A50" s="388"/>
      <c r="B50" s="397"/>
      <c r="C50" s="182" t="s">
        <v>32</v>
      </c>
      <c r="D50" s="179" t="s">
        <v>738</v>
      </c>
      <c r="E50" s="182" t="s">
        <v>739</v>
      </c>
      <c r="F50" s="182"/>
      <c r="G50" s="182" t="s">
        <v>118</v>
      </c>
      <c r="H50" s="182"/>
      <c r="I50" s="182"/>
    </row>
    <row r="51" spans="1:9" ht="14.45">
      <c r="A51" s="388"/>
      <c r="B51" s="397"/>
      <c r="C51" s="182" t="s">
        <v>32</v>
      </c>
      <c r="D51" s="179" t="s">
        <v>740</v>
      </c>
      <c r="E51" s="182" t="s">
        <v>741</v>
      </c>
      <c r="F51" s="182"/>
      <c r="G51" s="182" t="s">
        <v>118</v>
      </c>
      <c r="H51" s="182"/>
      <c r="I51" s="182"/>
    </row>
    <row r="52" spans="1:9" ht="14.45">
      <c r="A52" s="388"/>
      <c r="B52" s="397"/>
      <c r="C52" s="182" t="s">
        <v>32</v>
      </c>
      <c r="D52" s="179" t="s">
        <v>742</v>
      </c>
      <c r="E52" s="182" t="s">
        <v>743</v>
      </c>
      <c r="F52" s="182"/>
      <c r="G52" s="182" t="s">
        <v>120</v>
      </c>
      <c r="H52" s="182"/>
      <c r="I52" s="182"/>
    </row>
    <row r="53" spans="1:9" ht="14.45">
      <c r="A53" s="388"/>
      <c r="B53" s="397"/>
      <c r="C53" s="182" t="s">
        <v>243</v>
      </c>
      <c r="D53" s="179" t="s">
        <v>744</v>
      </c>
      <c r="E53" s="182" t="s">
        <v>745</v>
      </c>
      <c r="F53" s="182"/>
      <c r="G53" s="182" t="s">
        <v>120</v>
      </c>
      <c r="H53" s="182"/>
      <c r="I53" s="182"/>
    </row>
    <row r="54" spans="1:9" ht="14.45">
      <c r="A54" s="389"/>
      <c r="B54" s="398"/>
      <c r="C54" s="182" t="s">
        <v>7</v>
      </c>
      <c r="D54" s="179" t="s">
        <v>746</v>
      </c>
      <c r="E54" s="182" t="s">
        <v>747</v>
      </c>
      <c r="F54" s="182"/>
      <c r="G54" s="182" t="s">
        <v>118</v>
      </c>
      <c r="H54" s="182"/>
      <c r="I54" s="182" t="s">
        <v>737</v>
      </c>
    </row>
    <row r="55" spans="1:9" ht="14.45">
      <c r="A55" s="387" t="s">
        <v>278</v>
      </c>
      <c r="B55" s="396"/>
      <c r="C55" s="182" t="s">
        <v>32</v>
      </c>
      <c r="D55" s="179" t="s">
        <v>748</v>
      </c>
      <c r="E55" s="195" t="s">
        <v>749</v>
      </c>
      <c r="F55" s="195"/>
      <c r="G55" s="195" t="s">
        <v>119</v>
      </c>
      <c r="H55" s="182"/>
      <c r="I55" s="182"/>
    </row>
    <row r="56" spans="1:9" ht="14.45">
      <c r="A56" s="388"/>
      <c r="B56" s="397"/>
      <c r="C56" s="182" t="s">
        <v>32</v>
      </c>
      <c r="D56" s="179" t="s">
        <v>750</v>
      </c>
      <c r="E56" s="195" t="s">
        <v>751</v>
      </c>
      <c r="F56" s="195"/>
      <c r="G56" s="195" t="s">
        <v>119</v>
      </c>
      <c r="H56" s="182"/>
      <c r="I56" s="182"/>
    </row>
    <row r="57" spans="1:9" ht="14.45">
      <c r="A57" s="388"/>
      <c r="B57" s="397"/>
      <c r="C57" s="182" t="s">
        <v>32</v>
      </c>
      <c r="D57" s="179" t="s">
        <v>752</v>
      </c>
      <c r="E57" s="195" t="s">
        <v>753</v>
      </c>
      <c r="F57" s="195"/>
      <c r="G57" s="195" t="s">
        <v>118</v>
      </c>
      <c r="H57" s="182"/>
      <c r="I57" s="182"/>
    </row>
    <row r="58" spans="1:9" ht="14.45">
      <c r="A58" s="388"/>
      <c r="B58" s="397"/>
      <c r="C58" s="182" t="s">
        <v>32</v>
      </c>
      <c r="D58" s="179" t="s">
        <v>754</v>
      </c>
      <c r="E58" s="195" t="s">
        <v>755</v>
      </c>
      <c r="F58" s="195"/>
      <c r="G58" s="195" t="s">
        <v>120</v>
      </c>
      <c r="H58" s="182"/>
      <c r="I58" s="182"/>
    </row>
    <row r="59" spans="1:9" ht="14.45">
      <c r="A59" s="388"/>
      <c r="B59" s="397"/>
      <c r="C59" s="182" t="s">
        <v>7</v>
      </c>
      <c r="D59" s="179" t="s">
        <v>756</v>
      </c>
      <c r="E59" s="195" t="s">
        <v>637</v>
      </c>
      <c r="F59" s="195"/>
      <c r="G59" s="195"/>
      <c r="H59" s="182"/>
      <c r="I59" s="182"/>
    </row>
    <row r="60" spans="1:9" ht="14.45">
      <c r="A60" s="388"/>
      <c r="B60" s="397"/>
      <c r="C60" s="182" t="s">
        <v>32</v>
      </c>
      <c r="D60" s="179" t="s">
        <v>757</v>
      </c>
      <c r="E60" s="195" t="s">
        <v>758</v>
      </c>
      <c r="F60" s="195"/>
      <c r="G60" s="195"/>
      <c r="H60" s="182"/>
      <c r="I60" s="182"/>
    </row>
    <row r="61" spans="1:9" ht="14.45">
      <c r="A61" s="388"/>
      <c r="B61" s="397"/>
      <c r="C61" s="195" t="s">
        <v>243</v>
      </c>
      <c r="D61" s="194" t="s">
        <v>759</v>
      </c>
      <c r="E61" s="195" t="s">
        <v>760</v>
      </c>
      <c r="F61" s="195"/>
      <c r="G61" s="195" t="s">
        <v>118</v>
      </c>
      <c r="H61" s="182"/>
      <c r="I61" s="182"/>
    </row>
    <row r="62" spans="1:9" ht="14.45">
      <c r="A62" s="388"/>
      <c r="B62" s="399"/>
      <c r="C62" s="196" t="s">
        <v>7</v>
      </c>
      <c r="D62" s="178" t="s">
        <v>761</v>
      </c>
      <c r="E62" s="195" t="s">
        <v>762</v>
      </c>
      <c r="F62" s="195"/>
      <c r="G62" s="195" t="s">
        <v>118</v>
      </c>
      <c r="H62" s="197"/>
      <c r="I62" s="195"/>
    </row>
    <row r="63" spans="1:9" ht="14.45">
      <c r="A63" s="388"/>
      <c r="B63" s="399"/>
      <c r="C63" s="196" t="s">
        <v>32</v>
      </c>
      <c r="D63" s="178" t="s">
        <v>763</v>
      </c>
      <c r="E63" s="195" t="s">
        <v>764</v>
      </c>
      <c r="F63" s="195"/>
      <c r="G63" s="195" t="s">
        <v>119</v>
      </c>
      <c r="H63" s="197"/>
      <c r="I63" s="195"/>
    </row>
    <row r="64" spans="1:9" ht="14.45">
      <c r="A64" s="388"/>
      <c r="B64" s="399"/>
      <c r="C64" s="199" t="s">
        <v>32</v>
      </c>
      <c r="D64" s="194" t="s">
        <v>765</v>
      </c>
      <c r="E64" s="195" t="s">
        <v>766</v>
      </c>
      <c r="F64" s="195"/>
      <c r="G64" s="195" t="s">
        <v>120</v>
      </c>
      <c r="H64" s="197"/>
      <c r="I64" s="195"/>
    </row>
    <row r="65" spans="1:9" ht="14.45">
      <c r="A65" s="393" t="s">
        <v>767</v>
      </c>
      <c r="B65" s="182"/>
      <c r="C65" s="182" t="s">
        <v>32</v>
      </c>
      <c r="D65" s="182" t="s">
        <v>768</v>
      </c>
      <c r="E65" s="182" t="s">
        <v>769</v>
      </c>
      <c r="F65" s="182"/>
      <c r="G65" s="182" t="s">
        <v>118</v>
      </c>
      <c r="H65" s="198"/>
      <c r="I65" s="182"/>
    </row>
    <row r="66" spans="1:9" ht="14.45">
      <c r="A66" s="394"/>
      <c r="B66" s="182"/>
      <c r="C66" s="182" t="s">
        <v>32</v>
      </c>
      <c r="D66" s="182" t="s">
        <v>770</v>
      </c>
      <c r="E66" s="182" t="s">
        <v>771</v>
      </c>
      <c r="F66" s="182"/>
      <c r="G66" s="182" t="s">
        <v>118</v>
      </c>
      <c r="H66" s="198"/>
      <c r="I66" s="182"/>
    </row>
    <row r="67" spans="1:9" ht="14.45">
      <c r="A67" s="394"/>
      <c r="B67" s="182"/>
      <c r="C67" s="182" t="s">
        <v>32</v>
      </c>
      <c r="D67" s="182" t="s">
        <v>772</v>
      </c>
      <c r="E67" s="182" t="s">
        <v>773</v>
      </c>
      <c r="F67" s="182"/>
      <c r="G67" s="182" t="s">
        <v>118</v>
      </c>
      <c r="H67" s="198"/>
      <c r="I67" s="182"/>
    </row>
    <row r="68" spans="1:9" ht="14.45">
      <c r="A68" s="394"/>
      <c r="B68" s="182"/>
      <c r="C68" s="182" t="s">
        <v>32</v>
      </c>
      <c r="D68" s="182" t="s">
        <v>774</v>
      </c>
      <c r="E68" s="182" t="s">
        <v>775</v>
      </c>
      <c r="F68" s="182"/>
      <c r="G68" s="182" t="s">
        <v>120</v>
      </c>
      <c r="H68" s="198"/>
      <c r="I68" s="182"/>
    </row>
    <row r="69" spans="1:9" ht="14.45">
      <c r="A69" s="394"/>
      <c r="B69" s="182"/>
      <c r="C69" s="182" t="s">
        <v>32</v>
      </c>
      <c r="D69" s="182" t="s">
        <v>776</v>
      </c>
      <c r="E69" s="182" t="s">
        <v>777</v>
      </c>
      <c r="F69" s="182"/>
      <c r="G69" s="182" t="s">
        <v>120</v>
      </c>
      <c r="H69" s="198"/>
      <c r="I69" s="182"/>
    </row>
    <row r="70" spans="1:9" ht="14.45">
      <c r="A70" s="394"/>
      <c r="B70" s="182"/>
      <c r="C70" s="182" t="s">
        <v>32</v>
      </c>
      <c r="D70" s="182" t="s">
        <v>778</v>
      </c>
      <c r="E70" s="182" t="s">
        <v>779</v>
      </c>
      <c r="F70" s="182"/>
      <c r="G70" s="182" t="s">
        <v>119</v>
      </c>
      <c r="H70" s="198"/>
      <c r="I70" s="182"/>
    </row>
    <row r="71" spans="1:9" ht="14.45">
      <c r="A71" s="394"/>
      <c r="B71" s="182"/>
      <c r="C71" s="182" t="s">
        <v>32</v>
      </c>
      <c r="D71" s="182" t="s">
        <v>780</v>
      </c>
      <c r="E71" s="182" t="s">
        <v>781</v>
      </c>
      <c r="F71" s="182"/>
      <c r="G71" s="182" t="s">
        <v>119</v>
      </c>
      <c r="H71" s="182"/>
      <c r="I71" s="182"/>
    </row>
    <row r="72" spans="1:9" ht="14.45">
      <c r="A72" s="394"/>
      <c r="B72" s="182"/>
      <c r="C72" s="182" t="s">
        <v>32</v>
      </c>
      <c r="D72" s="182" t="s">
        <v>782</v>
      </c>
      <c r="E72" s="182" t="s">
        <v>783</v>
      </c>
      <c r="F72" s="182"/>
      <c r="G72" s="182" t="s">
        <v>120</v>
      </c>
      <c r="H72" s="1"/>
      <c r="I72" s="1"/>
    </row>
    <row r="73" spans="1:9" ht="14.45">
      <c r="A73" s="394"/>
      <c r="B73" s="182"/>
      <c r="C73" s="182" t="s">
        <v>32</v>
      </c>
      <c r="D73" s="182" t="s">
        <v>784</v>
      </c>
      <c r="E73" s="182" t="s">
        <v>785</v>
      </c>
      <c r="F73" s="182"/>
      <c r="G73" s="182" t="s">
        <v>119</v>
      </c>
      <c r="H73" s="1"/>
      <c r="I73" s="1"/>
    </row>
    <row r="74" spans="1:9" ht="14.45">
      <c r="A74" s="394"/>
      <c r="B74" s="182"/>
      <c r="C74" s="182" t="s">
        <v>32</v>
      </c>
      <c r="D74" s="182" t="s">
        <v>786</v>
      </c>
      <c r="E74" s="182" t="s">
        <v>787</v>
      </c>
      <c r="F74" s="182"/>
      <c r="G74" s="182" t="s">
        <v>120</v>
      </c>
      <c r="H74" s="1"/>
      <c r="I74" s="1"/>
    </row>
    <row r="75" spans="1:9">
      <c r="A75" s="395"/>
      <c r="B75" s="1"/>
      <c r="C75" s="1"/>
      <c r="D75" s="1"/>
      <c r="E75" s="1"/>
      <c r="F75" s="1"/>
      <c r="G75" s="1"/>
      <c r="H75" s="1"/>
      <c r="I75" s="1"/>
    </row>
  </sheetData>
  <autoFilter ref="A1:I75" xr:uid="{7A86570A-2446-4C6D-A1E6-271B8AA9E48B}"/>
  <mergeCells count="11">
    <mergeCell ref="A65:A75"/>
    <mergeCell ref="B44:B54"/>
    <mergeCell ref="A44:A54"/>
    <mergeCell ref="A55:A64"/>
    <mergeCell ref="B55:B64"/>
    <mergeCell ref="A2:A13"/>
    <mergeCell ref="B2:B13"/>
    <mergeCell ref="A14:A32"/>
    <mergeCell ref="B14:B32"/>
    <mergeCell ref="A33:A43"/>
    <mergeCell ref="B33:B43"/>
  </mergeCells>
  <hyperlinks>
    <hyperlink ref="D2" r:id="rId1" xr:uid="{05B0D5CC-CBC2-4B39-B86E-9D1E6CD133B0}"/>
    <hyperlink ref="D3" r:id="rId2" xr:uid="{7B268BE2-9A48-47CB-AFA5-BB41FF9DE75E}"/>
    <hyperlink ref="D4" r:id="rId3" xr:uid="{6C6D55A3-EA2A-4A0A-9228-927BA90E47D8}"/>
    <hyperlink ref="D5" r:id="rId4" xr:uid="{17621617-F3B2-40BE-9257-755D52482D9D}"/>
    <hyperlink ref="D6" r:id="rId5" xr:uid="{92DC8D99-55B2-41D0-9447-AF6D8D0682F0}"/>
    <hyperlink ref="D7" r:id="rId6" xr:uid="{445B05CD-5448-46B9-9BCF-1800A390A29C}"/>
    <hyperlink ref="D8" r:id="rId7" xr:uid="{6AD56F60-D10D-4953-B734-0C190C7DE33D}"/>
    <hyperlink ref="D9" r:id="rId8" xr:uid="{4BBFFEA0-F190-4BAB-A4F8-54BF984FDBF1}"/>
    <hyperlink ref="D10" r:id="rId9" xr:uid="{203A791F-6224-4D4F-A950-59E2354B1F23}"/>
    <hyperlink ref="D11" r:id="rId10" xr:uid="{49469F42-3033-4F9A-97F3-604D1CEF903B}"/>
    <hyperlink ref="D12" r:id="rId11" xr:uid="{95A0EB1F-056B-4250-886C-5C90A90D4A30}"/>
    <hyperlink ref="D13" r:id="rId12" xr:uid="{EFB6F94A-FD38-42EA-A3EB-F4F7BD233BD2}"/>
    <hyperlink ref="D14" r:id="rId13" xr:uid="{599AC4C9-D5FA-49B3-BF7B-167CCF7A261F}"/>
    <hyperlink ref="D15" r:id="rId14" xr:uid="{5C4AF7A6-6F16-4834-A4C7-75219D4130C5}"/>
    <hyperlink ref="D16" r:id="rId15" xr:uid="{CD0C21D8-F71D-45E2-B9D2-23CB31F813A5}"/>
    <hyperlink ref="D17" r:id="rId16" xr:uid="{9209759A-20EE-4FDE-9A58-4FC349A006C6}"/>
    <hyperlink ref="D18" r:id="rId17" xr:uid="{678991A4-BA5C-4DFA-959C-E7B1960D7746}"/>
    <hyperlink ref="D19" r:id="rId18" xr:uid="{D2998645-C221-46FD-BF2E-5A1636A7B032}"/>
    <hyperlink ref="D20" r:id="rId19" xr:uid="{EF1C2A00-8E8E-43C2-A2DA-71CDC3F5CC2D}"/>
    <hyperlink ref="D21" r:id="rId20" xr:uid="{69FF96F8-6043-439B-956A-F833B78BC104}"/>
    <hyperlink ref="D22" r:id="rId21" xr:uid="{9198E2E5-250F-4216-9956-8181EEE8E16C}"/>
    <hyperlink ref="D23" r:id="rId22" xr:uid="{DF5736C9-8990-4369-B100-459EE23E55C1}"/>
    <hyperlink ref="D24" r:id="rId23" xr:uid="{80664B83-5BA3-4B2A-9CD5-D1A16D8A246A}"/>
    <hyperlink ref="D25" r:id="rId24" xr:uid="{794FCE3B-6506-49C1-967D-B32AC9832E74}"/>
    <hyperlink ref="D26" r:id="rId25" xr:uid="{3BAC5353-4EB6-4DA0-BEB7-576E908471B8}"/>
    <hyperlink ref="D27" r:id="rId26" xr:uid="{E96EA01B-4A9E-4AE8-AD5C-D75D9F4440C7}"/>
    <hyperlink ref="D28" r:id="rId27" xr:uid="{60877438-06BD-40F9-BE09-BBD2F2949D75}"/>
    <hyperlink ref="D29" r:id="rId28" xr:uid="{E97D87C7-8D47-4073-850F-0F33C61063D2}"/>
    <hyperlink ref="D30" r:id="rId29" xr:uid="{01367489-87DC-47BE-A4BD-2596855699A4}"/>
    <hyperlink ref="D31" r:id="rId30" xr:uid="{917CE2F7-09AA-47F6-8DE5-E8C9AD687159}"/>
    <hyperlink ref="D32" r:id="rId31" xr:uid="{752F6A26-8ADD-4193-85CF-D0D1963F6342}"/>
    <hyperlink ref="D33" r:id="rId32" xr:uid="{72A12819-CFF1-4B1A-86E5-BCE282FCBABA}"/>
    <hyperlink ref="D34" r:id="rId33" xr:uid="{9B484CDA-D287-429D-91DB-2A13AEB86445}"/>
    <hyperlink ref="D35" r:id="rId34" xr:uid="{E0998630-2D0C-4955-A0F7-AF79912DD838}"/>
    <hyperlink ref="D36" r:id="rId35" xr:uid="{1E3C9896-AF6E-40B9-9838-32E70B5E1590}"/>
    <hyperlink ref="D37" r:id="rId36" xr:uid="{DFC2D430-CB03-4678-BFA2-390646280D8E}"/>
    <hyperlink ref="D38" r:id="rId37" xr:uid="{0065C820-6CC1-49CC-9399-B64C4E469FB0}"/>
    <hyperlink ref="D41" r:id="rId38" xr:uid="{B2020D58-6BCB-4500-B01C-279FDB2BD076}"/>
    <hyperlink ref="D42" r:id="rId39" xr:uid="{D97B1A8F-9DCF-4444-B140-F0010E156118}"/>
    <hyperlink ref="D43" r:id="rId40" xr:uid="{FB6FDF13-8DC5-4241-816B-202AF98A97C9}"/>
    <hyperlink ref="D44" r:id="rId41" display="https://jira.wiley.com/browse/CT-11736" xr:uid="{4A7AE68C-F521-4CC4-90AC-7A5426B11413}"/>
    <hyperlink ref="D45" r:id="rId42" display="https://jira.wiley.com/browse/CT-11672" xr:uid="{A91E9BC5-C30C-453C-8668-2E5CB52E3C37}"/>
    <hyperlink ref="D46" r:id="rId43" display="https://jira.wiley.com/browse/CT-11438" xr:uid="{F42B1771-8207-422A-ABE2-7D61BB295B61}"/>
    <hyperlink ref="D47" r:id="rId44" display="https://jira.wiley.com/browse/CT-11437" xr:uid="{49CB59A3-9877-44AB-8098-51935041A373}"/>
    <hyperlink ref="D48" r:id="rId45" display="https://jira.wiley.com/browse/CT-11220" xr:uid="{BF98BC8E-2720-4E57-97E0-12BA30B85303}"/>
    <hyperlink ref="D49" r:id="rId46" display="https://jira.wiley.com/browse/CT-11078" xr:uid="{F8CCC1E0-6C40-486E-B7E3-D23EFB8AE9A6}"/>
    <hyperlink ref="D50" r:id="rId47" display="https://jira.wiley.com/browse/CT-11038" xr:uid="{4DE0C126-6BA9-44B5-B279-F9DB4E06BBA9}"/>
    <hyperlink ref="D51" r:id="rId48" display="https://jira.wiley.com/browse/CT-11037" xr:uid="{07A241A4-2874-4D7D-812C-657AFFFDDB5B}"/>
    <hyperlink ref="D52" r:id="rId49" display="https://jira.wiley.com/browse/CT-11036" xr:uid="{5396585F-90BB-438A-BFB1-0DD73AB4C2D3}"/>
    <hyperlink ref="D54" r:id="rId50" display="https://jira.wiley.com/browse/CT-10474" xr:uid="{22A531FD-F8F4-47AC-AF95-8587237D356B}"/>
    <hyperlink ref="D55" r:id="rId51" display="https://jira.wiley.com/browse/CT-11442" xr:uid="{5AF5EB9C-A464-45CC-A190-BB74CD30F701}"/>
    <hyperlink ref="D56" r:id="rId52" display="https://jira.wiley.com/browse/CT-11441" xr:uid="{ADC9E858-8C16-43C0-BBE3-A07EF363DEE8}"/>
    <hyperlink ref="D57" r:id="rId53" display="https://jira.wiley.com/browse/CT-11440" xr:uid="{E48BA295-4B8B-4B04-BA0B-9571E3939055}"/>
    <hyperlink ref="D58" r:id="rId54" display="https://jira.wiley.com/browse/CT-11439" xr:uid="{15F6995C-CD44-4751-B6BC-506E02E39F62}"/>
    <hyperlink ref="D59" r:id="rId55" display="https://jira.wiley.com/browse/CT-11342" xr:uid="{EC867460-548F-48D3-8158-8E0A57B241BF}"/>
    <hyperlink ref="D60" r:id="rId56" display="https://jira.wiley.com/browse/CT-11309" xr:uid="{67DEBEFD-E532-4240-9A08-4ADA1ADC79B3}"/>
    <hyperlink ref="D64" r:id="rId57" display="https://jira.wiley.com/browse/CT-11064" xr:uid="{B205363C-9976-47FE-801B-7ED4C351EA3B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E513B-4EFC-4819-83BB-42E67ADB8365}">
  <sheetPr codeName="Sheet7"/>
  <dimension ref="A1:I116"/>
  <sheetViews>
    <sheetView topLeftCell="A27" zoomScale="85" zoomScaleNormal="85" workbookViewId="0">
      <selection activeCell="E38" sqref="E38"/>
    </sheetView>
  </sheetViews>
  <sheetFormatPr defaultRowHeight="14.1"/>
  <cols>
    <col min="2" max="2" width="29.375" customWidth="1"/>
    <col min="3" max="3" width="11.375" bestFit="1" customWidth="1"/>
    <col min="4" max="4" width="9.125" customWidth="1"/>
    <col min="5" max="5" width="81" customWidth="1"/>
    <col min="6" max="6" width="8.875" bestFit="1" customWidth="1"/>
    <col min="7" max="7" width="10.375" customWidth="1"/>
    <col min="8" max="8" width="39.375" customWidth="1"/>
  </cols>
  <sheetData>
    <row r="1" spans="1:9" ht="27.95">
      <c r="A1" s="53" t="s">
        <v>50</v>
      </c>
      <c r="B1" s="53" t="s">
        <v>108</v>
      </c>
      <c r="C1" s="53" t="s">
        <v>109</v>
      </c>
      <c r="D1" s="53" t="s">
        <v>110</v>
      </c>
      <c r="E1" s="53" t="s">
        <v>111</v>
      </c>
      <c r="F1" s="53" t="s">
        <v>466</v>
      </c>
      <c r="G1" s="53" t="s">
        <v>3</v>
      </c>
      <c r="H1" s="53" t="s">
        <v>788</v>
      </c>
      <c r="I1" s="53" t="s">
        <v>789</v>
      </c>
    </row>
    <row r="2" spans="1:9" ht="14.45">
      <c r="A2" s="400" t="s">
        <v>116</v>
      </c>
      <c r="B2" s="400" t="s">
        <v>790</v>
      </c>
      <c r="C2" s="146" t="s">
        <v>32</v>
      </c>
      <c r="D2" s="145" t="s">
        <v>791</v>
      </c>
      <c r="E2" s="146" t="s">
        <v>792</v>
      </c>
      <c r="F2" s="146">
        <v>1</v>
      </c>
      <c r="G2" s="146" t="s">
        <v>284</v>
      </c>
      <c r="H2" s="146"/>
      <c r="I2" s="146"/>
    </row>
    <row r="3" spans="1:9" ht="14.45">
      <c r="A3" s="400"/>
      <c r="B3" s="400"/>
      <c r="C3" s="146" t="s">
        <v>7</v>
      </c>
      <c r="D3" s="145" t="s">
        <v>793</v>
      </c>
      <c r="E3" s="146" t="s">
        <v>794</v>
      </c>
      <c r="F3" s="146">
        <v>1</v>
      </c>
      <c r="G3" s="146"/>
      <c r="H3" s="146"/>
      <c r="I3" s="146"/>
    </row>
    <row r="4" spans="1:9" ht="14.45">
      <c r="A4" s="400"/>
      <c r="B4" s="400"/>
      <c r="C4" s="146" t="s">
        <v>7</v>
      </c>
      <c r="D4" s="145" t="s">
        <v>795</v>
      </c>
      <c r="E4" s="146" t="s">
        <v>796</v>
      </c>
      <c r="F4" s="146">
        <v>1</v>
      </c>
      <c r="G4" s="146"/>
      <c r="H4" s="146"/>
      <c r="I4" s="146"/>
    </row>
    <row r="5" spans="1:9" ht="14.45">
      <c r="A5" s="400"/>
      <c r="B5" s="400"/>
      <c r="C5" s="146" t="s">
        <v>7</v>
      </c>
      <c r="D5" s="145" t="s">
        <v>797</v>
      </c>
      <c r="E5" s="146" t="s">
        <v>798</v>
      </c>
      <c r="F5" s="146">
        <v>2</v>
      </c>
      <c r="G5" s="146"/>
      <c r="H5" s="146"/>
      <c r="I5" s="146"/>
    </row>
    <row r="6" spans="1:9" ht="14.45">
      <c r="A6" s="400"/>
      <c r="B6" s="400"/>
      <c r="C6" s="146" t="s">
        <v>32</v>
      </c>
      <c r="D6" s="145" t="s">
        <v>799</v>
      </c>
      <c r="E6" s="146" t="s">
        <v>800</v>
      </c>
      <c r="F6" s="146">
        <v>1</v>
      </c>
      <c r="G6" s="146" t="s">
        <v>118</v>
      </c>
      <c r="H6" s="146"/>
      <c r="I6" s="146"/>
    </row>
    <row r="7" spans="1:9" ht="14.45">
      <c r="A7" s="400"/>
      <c r="B7" s="400"/>
      <c r="C7" s="146" t="s">
        <v>7</v>
      </c>
      <c r="D7" s="145" t="s">
        <v>801</v>
      </c>
      <c r="E7" s="146" t="s">
        <v>802</v>
      </c>
      <c r="F7" s="146">
        <v>1</v>
      </c>
      <c r="G7" s="146"/>
      <c r="H7" s="146"/>
      <c r="I7" s="146"/>
    </row>
    <row r="8" spans="1:9" ht="14.45">
      <c r="A8" s="400"/>
      <c r="B8" s="400"/>
      <c r="C8" s="146" t="s">
        <v>7</v>
      </c>
      <c r="D8" s="145" t="s">
        <v>803</v>
      </c>
      <c r="E8" s="146" t="s">
        <v>804</v>
      </c>
      <c r="F8" s="146">
        <v>1</v>
      </c>
      <c r="G8" s="146"/>
      <c r="H8" s="146"/>
      <c r="I8" s="146"/>
    </row>
    <row r="9" spans="1:9" ht="14.45">
      <c r="A9" s="400"/>
      <c r="B9" s="400"/>
      <c r="C9" s="146" t="s">
        <v>7</v>
      </c>
      <c r="D9" s="145" t="s">
        <v>805</v>
      </c>
      <c r="E9" s="146" t="s">
        <v>806</v>
      </c>
      <c r="F9" s="146">
        <v>2</v>
      </c>
      <c r="G9" s="146" t="s">
        <v>284</v>
      </c>
      <c r="H9" s="146"/>
      <c r="I9" s="146"/>
    </row>
    <row r="10" spans="1:9" ht="14.45">
      <c r="A10" s="400"/>
      <c r="B10" s="400"/>
      <c r="C10" s="146" t="s">
        <v>7</v>
      </c>
      <c r="D10" s="145" t="s">
        <v>807</v>
      </c>
      <c r="E10" s="146" t="s">
        <v>808</v>
      </c>
      <c r="F10" s="146"/>
      <c r="G10" s="146"/>
      <c r="H10" s="146"/>
      <c r="I10" s="146"/>
    </row>
    <row r="11" spans="1:9" ht="14.45">
      <c r="A11" s="400"/>
      <c r="B11" s="400"/>
      <c r="C11" s="146" t="s">
        <v>32</v>
      </c>
      <c r="D11" s="145" t="s">
        <v>809</v>
      </c>
      <c r="E11" s="146" t="s">
        <v>810</v>
      </c>
      <c r="F11" s="146"/>
      <c r="G11" s="146"/>
      <c r="H11" s="146"/>
      <c r="I11" s="146"/>
    </row>
    <row r="12" spans="1:9" ht="14.45">
      <c r="A12" s="400"/>
      <c r="B12" s="400"/>
      <c r="C12" s="146" t="s">
        <v>7</v>
      </c>
      <c r="D12" s="145" t="s">
        <v>811</v>
      </c>
      <c r="E12" s="146" t="s">
        <v>812</v>
      </c>
      <c r="F12" s="146">
        <v>3</v>
      </c>
      <c r="G12" s="146"/>
      <c r="H12" s="146"/>
      <c r="I12" s="146"/>
    </row>
    <row r="13" spans="1:9" ht="14.45">
      <c r="A13" s="400"/>
      <c r="B13" s="400"/>
      <c r="C13" s="146" t="s">
        <v>7</v>
      </c>
      <c r="D13" s="145" t="s">
        <v>813</v>
      </c>
      <c r="E13" s="146" t="s">
        <v>814</v>
      </c>
      <c r="F13" s="146">
        <v>2</v>
      </c>
      <c r="G13" s="146"/>
      <c r="H13" s="146"/>
      <c r="I13" s="146"/>
    </row>
    <row r="14" spans="1:9" ht="14.45">
      <c r="A14" s="400"/>
      <c r="B14" s="400"/>
      <c r="C14" s="146" t="s">
        <v>7</v>
      </c>
      <c r="D14" s="145" t="s">
        <v>815</v>
      </c>
      <c r="E14" s="146" t="s">
        <v>816</v>
      </c>
      <c r="F14" s="146">
        <v>1</v>
      </c>
      <c r="G14" s="146"/>
      <c r="H14" s="146"/>
      <c r="I14" s="146"/>
    </row>
    <row r="15" spans="1:9" ht="14.45">
      <c r="A15" s="400"/>
      <c r="B15" s="400"/>
      <c r="C15" s="146" t="s">
        <v>7</v>
      </c>
      <c r="D15" s="145" t="s">
        <v>817</v>
      </c>
      <c r="E15" s="146" t="s">
        <v>818</v>
      </c>
      <c r="F15" s="146">
        <v>2</v>
      </c>
      <c r="G15" s="146"/>
      <c r="H15" s="146"/>
      <c r="I15" s="146"/>
    </row>
    <row r="16" spans="1:9" ht="14.45">
      <c r="A16" s="400"/>
      <c r="B16" s="400"/>
      <c r="C16" s="146" t="s">
        <v>7</v>
      </c>
      <c r="D16" s="145" t="s">
        <v>819</v>
      </c>
      <c r="E16" s="146" t="s">
        <v>820</v>
      </c>
      <c r="F16" s="146">
        <v>2</v>
      </c>
      <c r="G16" s="146"/>
      <c r="H16" s="146"/>
      <c r="I16" s="146"/>
    </row>
    <row r="17" spans="1:9" ht="14.45">
      <c r="A17" s="400"/>
      <c r="B17" s="400"/>
      <c r="C17" s="146" t="s">
        <v>7</v>
      </c>
      <c r="D17" s="145" t="s">
        <v>821</v>
      </c>
      <c r="E17" s="146" t="s">
        <v>822</v>
      </c>
      <c r="F17" s="146">
        <v>3</v>
      </c>
      <c r="G17" s="146"/>
      <c r="H17" s="146"/>
      <c r="I17" s="146"/>
    </row>
    <row r="18" spans="1:9" ht="14.45">
      <c r="A18" s="400"/>
      <c r="B18" s="400"/>
      <c r="C18" s="146" t="s">
        <v>7</v>
      </c>
      <c r="D18" s="145" t="s">
        <v>823</v>
      </c>
      <c r="E18" s="146" t="s">
        <v>824</v>
      </c>
      <c r="F18" s="146">
        <v>2</v>
      </c>
      <c r="G18" s="146"/>
      <c r="H18" s="146"/>
      <c r="I18" s="146"/>
    </row>
    <row r="19" spans="1:9" ht="14.45">
      <c r="A19" s="300" t="s">
        <v>122</v>
      </c>
      <c r="B19" s="300"/>
      <c r="C19" s="146" t="s">
        <v>32</v>
      </c>
      <c r="D19" s="147" t="s">
        <v>825</v>
      </c>
      <c r="E19" s="154" t="s">
        <v>826</v>
      </c>
      <c r="F19" s="146"/>
      <c r="G19" s="146" t="s">
        <v>119</v>
      </c>
      <c r="H19" s="146"/>
      <c r="I19" s="146"/>
    </row>
    <row r="20" spans="1:9" ht="14.45">
      <c r="A20" s="301"/>
      <c r="B20" s="301"/>
      <c r="C20" s="146" t="s">
        <v>32</v>
      </c>
      <c r="D20" s="147" t="s">
        <v>827</v>
      </c>
      <c r="E20" s="148" t="s">
        <v>828</v>
      </c>
      <c r="F20" s="146"/>
      <c r="G20" s="146" t="s">
        <v>120</v>
      </c>
      <c r="H20" s="146"/>
      <c r="I20" s="146"/>
    </row>
    <row r="21" spans="1:9" ht="14.45">
      <c r="A21" s="301"/>
      <c r="B21" s="301"/>
      <c r="C21" s="146" t="s">
        <v>7</v>
      </c>
      <c r="D21" s="147" t="s">
        <v>829</v>
      </c>
      <c r="E21" s="146" t="s">
        <v>830</v>
      </c>
      <c r="F21" s="146"/>
      <c r="G21" s="146"/>
      <c r="H21" s="146"/>
      <c r="I21" s="146"/>
    </row>
    <row r="22" spans="1:9" ht="14.45">
      <c r="A22" s="301"/>
      <c r="B22" s="301"/>
      <c r="C22" s="152" t="s">
        <v>7</v>
      </c>
      <c r="D22" s="153" t="s">
        <v>831</v>
      </c>
      <c r="E22" s="152" t="s">
        <v>832</v>
      </c>
      <c r="F22" s="152"/>
      <c r="G22" s="152" t="s">
        <v>118</v>
      </c>
      <c r="H22" s="146"/>
      <c r="I22" s="146"/>
    </row>
    <row r="23" spans="1:9" ht="14.45">
      <c r="A23" s="301"/>
      <c r="B23" s="301"/>
      <c r="C23" s="152" t="s">
        <v>7</v>
      </c>
      <c r="D23" s="153" t="s">
        <v>833</v>
      </c>
      <c r="E23" s="152" t="s">
        <v>834</v>
      </c>
      <c r="F23" s="152"/>
      <c r="G23" s="152" t="s">
        <v>118</v>
      </c>
      <c r="H23" s="146"/>
      <c r="I23" s="146"/>
    </row>
    <row r="24" spans="1:9" ht="14.45">
      <c r="A24" s="301"/>
      <c r="B24" s="301"/>
      <c r="C24" s="146" t="s">
        <v>7</v>
      </c>
      <c r="D24" s="147" t="s">
        <v>835</v>
      </c>
      <c r="E24" s="146" t="s">
        <v>836</v>
      </c>
      <c r="F24" s="146"/>
      <c r="G24" s="146"/>
      <c r="H24" s="146"/>
      <c r="I24" s="146"/>
    </row>
    <row r="25" spans="1:9" ht="14.45">
      <c r="A25" s="301"/>
      <c r="B25" s="301"/>
      <c r="C25" s="146" t="s">
        <v>7</v>
      </c>
      <c r="D25" s="147" t="s">
        <v>837</v>
      </c>
      <c r="E25" s="146" t="s">
        <v>838</v>
      </c>
      <c r="F25" s="146"/>
      <c r="G25" s="146"/>
      <c r="H25" s="146"/>
      <c r="I25" s="146"/>
    </row>
    <row r="26" spans="1:9" ht="14.45">
      <c r="A26" s="301"/>
      <c r="B26" s="301"/>
      <c r="C26" s="146" t="s">
        <v>7</v>
      </c>
      <c r="D26" s="147" t="s">
        <v>839</v>
      </c>
      <c r="E26" s="146" t="s">
        <v>840</v>
      </c>
      <c r="F26" s="146"/>
      <c r="G26" s="146"/>
      <c r="H26" s="146"/>
      <c r="I26" s="146"/>
    </row>
    <row r="27" spans="1:9" ht="14.45">
      <c r="A27" s="301"/>
      <c r="B27" s="301"/>
      <c r="C27" s="146" t="s">
        <v>7</v>
      </c>
      <c r="D27" s="147" t="s">
        <v>841</v>
      </c>
      <c r="E27" s="146" t="s">
        <v>842</v>
      </c>
      <c r="F27" s="146"/>
      <c r="G27" s="146"/>
      <c r="H27" s="146"/>
      <c r="I27" s="146"/>
    </row>
    <row r="28" spans="1:9" ht="14.45">
      <c r="A28" s="301"/>
      <c r="B28" s="301"/>
      <c r="C28" s="146" t="s">
        <v>32</v>
      </c>
      <c r="D28" s="159" t="s">
        <v>843</v>
      </c>
      <c r="E28" s="151" t="s">
        <v>844</v>
      </c>
      <c r="F28" s="146"/>
      <c r="G28" s="146" t="s">
        <v>120</v>
      </c>
      <c r="H28" s="146"/>
      <c r="I28" s="146"/>
    </row>
    <row r="29" spans="1:9" ht="14.45">
      <c r="A29" s="301"/>
      <c r="B29" s="301"/>
      <c r="C29" s="146" t="s">
        <v>32</v>
      </c>
      <c r="D29" s="147" t="s">
        <v>845</v>
      </c>
      <c r="E29" s="151" t="s">
        <v>846</v>
      </c>
      <c r="F29" s="146"/>
      <c r="G29" s="146" t="s">
        <v>119</v>
      </c>
      <c r="H29" s="146"/>
      <c r="I29" s="146"/>
    </row>
    <row r="30" spans="1:9" ht="14.45">
      <c r="A30" s="301"/>
      <c r="B30" s="301"/>
      <c r="C30" s="146" t="s">
        <v>32</v>
      </c>
      <c r="D30" s="147" t="s">
        <v>847</v>
      </c>
      <c r="E30" s="146" t="s">
        <v>848</v>
      </c>
      <c r="F30" s="146"/>
      <c r="G30" s="146" t="s">
        <v>120</v>
      </c>
      <c r="H30" s="146"/>
      <c r="I30" s="146"/>
    </row>
    <row r="31" spans="1:9" ht="14.45">
      <c r="A31" s="301"/>
      <c r="B31" s="301"/>
      <c r="C31" s="146" t="s">
        <v>32</v>
      </c>
      <c r="D31" s="147" t="s">
        <v>849</v>
      </c>
      <c r="E31" s="151" t="s">
        <v>850</v>
      </c>
      <c r="F31" s="146"/>
      <c r="G31" s="146" t="s">
        <v>119</v>
      </c>
      <c r="H31" s="146"/>
      <c r="I31" s="146"/>
    </row>
    <row r="32" spans="1:9" ht="14.45">
      <c r="A32" s="301"/>
      <c r="B32" s="301"/>
      <c r="C32" s="146" t="s">
        <v>32</v>
      </c>
      <c r="D32" s="147" t="s">
        <v>851</v>
      </c>
      <c r="E32" s="151" t="s">
        <v>852</v>
      </c>
      <c r="F32" s="146"/>
      <c r="G32" s="146" t="s">
        <v>119</v>
      </c>
      <c r="H32" s="146"/>
      <c r="I32" s="146"/>
    </row>
    <row r="33" spans="1:9" s="171" customFormat="1" ht="14.45">
      <c r="A33" s="301"/>
      <c r="B33" s="301"/>
      <c r="C33" s="169" t="s">
        <v>32</v>
      </c>
      <c r="D33" s="170" t="s">
        <v>853</v>
      </c>
      <c r="E33" s="169" t="s">
        <v>854</v>
      </c>
      <c r="F33" s="169"/>
      <c r="G33" s="169" t="s">
        <v>120</v>
      </c>
      <c r="H33" s="169"/>
      <c r="I33" s="169"/>
    </row>
    <row r="34" spans="1:9" ht="14.45">
      <c r="A34" s="301"/>
      <c r="B34" s="301"/>
      <c r="C34" s="158" t="s">
        <v>32</v>
      </c>
      <c r="D34" s="155" t="s">
        <v>855</v>
      </c>
      <c r="E34" s="157" t="s">
        <v>856</v>
      </c>
      <c r="G34" s="158" t="s">
        <v>284</v>
      </c>
      <c r="H34" s="146"/>
      <c r="I34" s="146"/>
    </row>
    <row r="35" spans="1:9" ht="17.45">
      <c r="A35" s="301"/>
      <c r="B35" s="301"/>
      <c r="C35" s="156"/>
      <c r="H35" s="146"/>
      <c r="I35" s="146"/>
    </row>
    <row r="36" spans="1:9" ht="14.45">
      <c r="A36" s="301"/>
      <c r="B36" s="301"/>
      <c r="C36" s="146" t="s">
        <v>243</v>
      </c>
      <c r="D36" s="147" t="s">
        <v>857</v>
      </c>
      <c r="E36" s="146" t="s">
        <v>858</v>
      </c>
      <c r="F36" s="146"/>
      <c r="G36" s="148" t="s">
        <v>118</v>
      </c>
      <c r="H36" s="146"/>
      <c r="I36" s="146"/>
    </row>
    <row r="37" spans="1:9" ht="14.45">
      <c r="A37" s="301"/>
      <c r="B37" s="301"/>
      <c r="C37" s="146" t="s">
        <v>7</v>
      </c>
      <c r="D37" s="147" t="s">
        <v>859</v>
      </c>
      <c r="E37" s="146" t="s">
        <v>860</v>
      </c>
      <c r="F37" s="146"/>
      <c r="G37" s="146" t="s">
        <v>118</v>
      </c>
      <c r="H37" s="146"/>
      <c r="I37" s="146"/>
    </row>
    <row r="38" spans="1:9" ht="14.45">
      <c r="A38" s="301"/>
      <c r="B38" s="301"/>
      <c r="C38" s="146" t="s">
        <v>32</v>
      </c>
      <c r="D38" s="147" t="s">
        <v>861</v>
      </c>
      <c r="E38" s="148" t="s">
        <v>862</v>
      </c>
      <c r="F38" s="146"/>
      <c r="G38" s="146"/>
      <c r="H38" s="146"/>
      <c r="I38" s="146"/>
    </row>
    <row r="39" spans="1:9" ht="14.45">
      <c r="A39" s="301"/>
      <c r="B39" s="301"/>
      <c r="C39" s="146" t="s">
        <v>32</v>
      </c>
      <c r="D39" s="149" t="s">
        <v>863</v>
      </c>
      <c r="E39" s="148" t="s">
        <v>864</v>
      </c>
      <c r="F39" s="146"/>
      <c r="G39" s="146" t="s">
        <v>118</v>
      </c>
      <c r="H39" s="146"/>
      <c r="I39" s="146"/>
    </row>
    <row r="40" spans="1:9" ht="14.45">
      <c r="A40" s="150"/>
      <c r="B40" s="150"/>
      <c r="C40" s="146" t="s">
        <v>32</v>
      </c>
      <c r="D40" s="149" t="s">
        <v>831</v>
      </c>
      <c r="E40" s="154" t="s">
        <v>865</v>
      </c>
      <c r="F40" s="146"/>
      <c r="G40" s="146" t="s">
        <v>284</v>
      </c>
      <c r="H40" s="146"/>
      <c r="I40" s="146"/>
    </row>
    <row r="41" spans="1:9" ht="14.45">
      <c r="A41" s="300" t="s">
        <v>156</v>
      </c>
      <c r="B41" s="300"/>
      <c r="C41" s="146" t="s">
        <v>7</v>
      </c>
      <c r="D41" s="147" t="s">
        <v>866</v>
      </c>
      <c r="E41" s="148" t="s">
        <v>867</v>
      </c>
      <c r="F41" s="146"/>
      <c r="G41" s="146" t="s">
        <v>118</v>
      </c>
      <c r="H41" s="146" t="s">
        <v>868</v>
      </c>
      <c r="I41" s="146"/>
    </row>
    <row r="42" spans="1:9" ht="14.45">
      <c r="A42" s="301"/>
      <c r="B42" s="301"/>
      <c r="C42" s="146" t="s">
        <v>7</v>
      </c>
      <c r="D42" s="147" t="s">
        <v>869</v>
      </c>
      <c r="E42" s="146" t="s">
        <v>870</v>
      </c>
      <c r="F42" s="146"/>
      <c r="G42" s="146"/>
      <c r="H42" s="146"/>
      <c r="I42" s="146"/>
    </row>
    <row r="43" spans="1:9" ht="14.45">
      <c r="A43" s="301"/>
      <c r="B43" s="301"/>
      <c r="C43" s="146" t="s">
        <v>7</v>
      </c>
      <c r="D43" s="147" t="s">
        <v>871</v>
      </c>
      <c r="E43" s="146" t="s">
        <v>872</v>
      </c>
      <c r="F43" s="146"/>
      <c r="G43" s="146"/>
      <c r="H43" s="146"/>
      <c r="I43" s="146"/>
    </row>
    <row r="44" spans="1:9" ht="14.45">
      <c r="A44" s="301"/>
      <c r="B44" s="301"/>
      <c r="C44" s="146" t="s">
        <v>7</v>
      </c>
      <c r="D44" s="147" t="s">
        <v>873</v>
      </c>
      <c r="E44" s="146" t="s">
        <v>874</v>
      </c>
      <c r="F44" s="146"/>
      <c r="G44" s="146" t="s">
        <v>118</v>
      </c>
      <c r="H44" s="146" t="s">
        <v>875</v>
      </c>
      <c r="I44" s="146"/>
    </row>
    <row r="45" spans="1:9" ht="14.45">
      <c r="A45" s="301"/>
      <c r="B45" s="301"/>
      <c r="C45" s="152" t="s">
        <v>7</v>
      </c>
      <c r="D45" s="153" t="s">
        <v>876</v>
      </c>
      <c r="E45" s="152" t="s">
        <v>877</v>
      </c>
      <c r="F45" s="152"/>
      <c r="G45" s="152"/>
      <c r="H45" s="146"/>
      <c r="I45" s="146"/>
    </row>
    <row r="46" spans="1:9" ht="14.45">
      <c r="A46" s="301"/>
      <c r="B46" s="301"/>
      <c r="C46" s="146" t="s">
        <v>7</v>
      </c>
      <c r="D46" s="147" t="s">
        <v>878</v>
      </c>
      <c r="E46" s="146" t="s">
        <v>879</v>
      </c>
      <c r="F46" s="146"/>
      <c r="G46" s="146"/>
      <c r="H46" s="146"/>
      <c r="I46" s="146"/>
    </row>
    <row r="47" spans="1:9" ht="14.45">
      <c r="A47" s="301"/>
      <c r="B47" s="301"/>
      <c r="C47" s="146" t="s">
        <v>32</v>
      </c>
      <c r="D47" s="147" t="s">
        <v>880</v>
      </c>
      <c r="E47" s="146" t="s">
        <v>881</v>
      </c>
      <c r="F47" s="146"/>
      <c r="G47" s="146" t="s">
        <v>118</v>
      </c>
      <c r="H47" s="146" t="s">
        <v>882</v>
      </c>
      <c r="I47" s="146"/>
    </row>
    <row r="48" spans="1:9" ht="14.45">
      <c r="A48" s="301"/>
      <c r="B48" s="301"/>
      <c r="C48" s="146" t="s">
        <v>32</v>
      </c>
      <c r="D48" s="147" t="s">
        <v>883</v>
      </c>
      <c r="E48" s="146" t="s">
        <v>884</v>
      </c>
      <c r="F48" s="146"/>
      <c r="G48" s="146" t="s">
        <v>284</v>
      </c>
      <c r="H48" s="146"/>
      <c r="I48" s="146"/>
    </row>
    <row r="49" spans="1:9" ht="14.45">
      <c r="A49" s="301"/>
      <c r="B49" s="301"/>
      <c r="C49" s="146" t="s">
        <v>32</v>
      </c>
      <c r="D49" s="159" t="s">
        <v>885</v>
      </c>
      <c r="E49" s="151" t="s">
        <v>886</v>
      </c>
      <c r="F49" s="146"/>
      <c r="G49" s="146" t="s">
        <v>120</v>
      </c>
      <c r="H49" s="146"/>
      <c r="I49" s="146"/>
    </row>
    <row r="50" spans="1:9" ht="14.45">
      <c r="A50" s="301"/>
      <c r="B50" s="301"/>
      <c r="C50" s="146" t="s">
        <v>32</v>
      </c>
      <c r="D50" s="147" t="s">
        <v>887</v>
      </c>
      <c r="E50" s="146" t="s">
        <v>888</v>
      </c>
      <c r="F50" s="146"/>
      <c r="G50" s="146" t="s">
        <v>120</v>
      </c>
      <c r="H50" s="146"/>
      <c r="I50" s="146"/>
    </row>
    <row r="51" spans="1:9" ht="14.45">
      <c r="A51" s="301"/>
      <c r="B51" s="301"/>
      <c r="C51" s="146" t="s">
        <v>32</v>
      </c>
      <c r="D51" s="159" t="s">
        <v>889</v>
      </c>
      <c r="E51" s="151" t="s">
        <v>890</v>
      </c>
      <c r="F51" s="146"/>
      <c r="G51" s="146" t="s">
        <v>120</v>
      </c>
      <c r="H51" s="146" t="s">
        <v>891</v>
      </c>
      <c r="I51" s="146"/>
    </row>
    <row r="52" spans="1:9" ht="14.45">
      <c r="A52" s="301"/>
      <c r="B52" s="301"/>
      <c r="C52" s="146" t="s">
        <v>32</v>
      </c>
      <c r="D52" s="147" t="s">
        <v>892</v>
      </c>
      <c r="E52" s="146" t="s">
        <v>893</v>
      </c>
      <c r="F52" s="146"/>
      <c r="G52" s="146" t="s">
        <v>120</v>
      </c>
      <c r="H52" s="158"/>
      <c r="I52" s="146"/>
    </row>
    <row r="53" spans="1:9" ht="14.45">
      <c r="A53" s="301"/>
      <c r="B53" s="301"/>
      <c r="C53" s="146" t="s">
        <v>32</v>
      </c>
      <c r="D53" s="159" t="s">
        <v>894</v>
      </c>
      <c r="E53" s="163" t="s">
        <v>895</v>
      </c>
      <c r="F53" s="146"/>
      <c r="G53" s="146" t="s">
        <v>119</v>
      </c>
      <c r="H53" s="146" t="s">
        <v>896</v>
      </c>
      <c r="I53" s="146"/>
    </row>
    <row r="54" spans="1:9" ht="14.45">
      <c r="A54" s="301"/>
      <c r="B54" s="301"/>
      <c r="C54" s="146" t="s">
        <v>32</v>
      </c>
      <c r="D54" s="147" t="s">
        <v>897</v>
      </c>
      <c r="E54" s="146" t="s">
        <v>898</v>
      </c>
      <c r="F54" s="146"/>
      <c r="G54" s="146"/>
      <c r="H54" s="146"/>
      <c r="I54" s="146"/>
    </row>
    <row r="55" spans="1:9" ht="14.45">
      <c r="A55" s="301"/>
      <c r="B55" s="301"/>
      <c r="C55" s="146" t="s">
        <v>32</v>
      </c>
      <c r="D55" s="159" t="s">
        <v>899</v>
      </c>
      <c r="E55" s="163" t="s">
        <v>900</v>
      </c>
      <c r="F55" s="146"/>
      <c r="G55" s="146" t="s">
        <v>119</v>
      </c>
      <c r="H55" s="146" t="s">
        <v>901</v>
      </c>
      <c r="I55" s="146"/>
    </row>
    <row r="56" spans="1:9" ht="14.45">
      <c r="A56" s="301"/>
      <c r="B56" s="301"/>
      <c r="C56" s="146" t="s">
        <v>7</v>
      </c>
      <c r="D56" s="147" t="s">
        <v>902</v>
      </c>
      <c r="E56" s="146" t="s">
        <v>903</v>
      </c>
      <c r="F56" s="146"/>
      <c r="G56" s="146" t="s">
        <v>118</v>
      </c>
      <c r="H56" s="146" t="s">
        <v>904</v>
      </c>
      <c r="I56" s="146"/>
    </row>
    <row r="57" spans="1:9" ht="14.45">
      <c r="A57" s="301"/>
      <c r="B57" s="301"/>
      <c r="C57" s="146" t="s">
        <v>32</v>
      </c>
      <c r="D57" s="147" t="s">
        <v>905</v>
      </c>
      <c r="E57" s="151" t="s">
        <v>906</v>
      </c>
      <c r="F57" s="146"/>
      <c r="G57" s="146" t="s">
        <v>119</v>
      </c>
      <c r="H57" s="146" t="s">
        <v>907</v>
      </c>
      <c r="I57" s="146"/>
    </row>
    <row r="58" spans="1:9" ht="14.45">
      <c r="A58" s="301"/>
      <c r="B58" s="301"/>
      <c r="C58" s="146" t="s">
        <v>32</v>
      </c>
      <c r="D58" s="159" t="s">
        <v>908</v>
      </c>
      <c r="E58" s="163" t="s">
        <v>909</v>
      </c>
      <c r="F58" s="146"/>
      <c r="G58" s="146" t="s">
        <v>119</v>
      </c>
      <c r="H58" s="146" t="s">
        <v>910</v>
      </c>
      <c r="I58" s="146"/>
    </row>
    <row r="59" spans="1:9" ht="14.45">
      <c r="A59" s="301"/>
      <c r="B59" s="301"/>
      <c r="C59" s="152" t="s">
        <v>243</v>
      </c>
      <c r="D59" s="153" t="s">
        <v>911</v>
      </c>
      <c r="E59" s="152" t="s">
        <v>912</v>
      </c>
      <c r="F59" s="152"/>
      <c r="G59" s="152" t="s">
        <v>120</v>
      </c>
      <c r="H59" s="146"/>
      <c r="I59" s="146"/>
    </row>
    <row r="60" spans="1:9" s="171" customFormat="1" ht="14.45">
      <c r="A60" s="301"/>
      <c r="B60" s="301"/>
      <c r="C60" s="169" t="s">
        <v>7</v>
      </c>
      <c r="D60" s="170" t="s">
        <v>913</v>
      </c>
      <c r="E60" s="169" t="s">
        <v>914</v>
      </c>
      <c r="F60" s="169"/>
      <c r="G60" s="169" t="s">
        <v>284</v>
      </c>
      <c r="H60" s="169"/>
      <c r="I60" s="169"/>
    </row>
    <row r="61" spans="1:9" s="171" customFormat="1" ht="14.45">
      <c r="A61" s="301"/>
      <c r="B61" s="301"/>
      <c r="C61" s="169" t="s">
        <v>7</v>
      </c>
      <c r="D61" s="170" t="s">
        <v>915</v>
      </c>
      <c r="E61" s="169" t="s">
        <v>916</v>
      </c>
      <c r="F61" s="169"/>
      <c r="G61" s="169" t="s">
        <v>284</v>
      </c>
      <c r="H61" s="169"/>
      <c r="I61" s="169"/>
    </row>
    <row r="62" spans="1:9" ht="14.45">
      <c r="A62" s="301"/>
      <c r="B62" s="301"/>
      <c r="C62" s="146" t="s">
        <v>7</v>
      </c>
      <c r="D62" s="147" t="s">
        <v>917</v>
      </c>
      <c r="E62" s="146" t="s">
        <v>918</v>
      </c>
      <c r="F62" s="148"/>
      <c r="G62" s="148"/>
      <c r="H62" s="146"/>
      <c r="I62" s="146"/>
    </row>
    <row r="63" spans="1:9" ht="14.45">
      <c r="A63" s="301"/>
      <c r="B63" s="302"/>
      <c r="C63" s="146" t="s">
        <v>7</v>
      </c>
      <c r="D63" s="147" t="s">
        <v>919</v>
      </c>
      <c r="E63" s="146" t="s">
        <v>920</v>
      </c>
      <c r="F63" s="146"/>
      <c r="G63" s="146"/>
      <c r="H63" s="146"/>
      <c r="I63" s="146"/>
    </row>
    <row r="64" spans="1:9" ht="14.45">
      <c r="A64" s="306" t="s">
        <v>256</v>
      </c>
      <c r="B64" s="404"/>
      <c r="C64" s="160" t="s">
        <v>7</v>
      </c>
      <c r="D64" s="161" t="s">
        <v>921</v>
      </c>
      <c r="E64" s="151" t="s">
        <v>922</v>
      </c>
      <c r="F64" s="146"/>
      <c r="G64" s="146" t="s">
        <v>923</v>
      </c>
      <c r="H64" s="146"/>
      <c r="I64" s="146"/>
    </row>
    <row r="65" spans="1:9" ht="14.45">
      <c r="A65" s="306"/>
      <c r="B65" s="404"/>
      <c r="C65" s="160" t="s">
        <v>7</v>
      </c>
      <c r="D65" s="161" t="s">
        <v>924</v>
      </c>
      <c r="E65" s="151" t="s">
        <v>925</v>
      </c>
      <c r="F65" s="146"/>
      <c r="G65" s="146" t="s">
        <v>923</v>
      </c>
      <c r="H65" s="146"/>
      <c r="I65" s="146"/>
    </row>
    <row r="66" spans="1:9" ht="14.45">
      <c r="A66" s="306"/>
      <c r="B66" s="404"/>
      <c r="C66" s="160" t="s">
        <v>7</v>
      </c>
      <c r="D66" s="161" t="s">
        <v>926</v>
      </c>
      <c r="E66" s="151" t="s">
        <v>927</v>
      </c>
      <c r="F66" s="146"/>
      <c r="G66" s="146" t="s">
        <v>284</v>
      </c>
      <c r="H66" s="146"/>
      <c r="I66" s="146"/>
    </row>
    <row r="67" spans="1:9" ht="14.45">
      <c r="A67" s="306"/>
      <c r="B67" s="404"/>
      <c r="C67" s="160" t="s">
        <v>928</v>
      </c>
      <c r="D67" s="161" t="s">
        <v>929</v>
      </c>
      <c r="E67" s="151" t="s">
        <v>930</v>
      </c>
      <c r="F67" s="146"/>
      <c r="G67" s="148" t="s">
        <v>120</v>
      </c>
      <c r="H67" s="146"/>
      <c r="I67" s="146"/>
    </row>
    <row r="68" spans="1:9" ht="14.45">
      <c r="A68" s="306"/>
      <c r="B68" s="404"/>
      <c r="C68" s="160" t="s">
        <v>928</v>
      </c>
      <c r="D68" s="161" t="s">
        <v>931</v>
      </c>
      <c r="E68" s="151" t="s">
        <v>932</v>
      </c>
      <c r="F68" s="146"/>
      <c r="G68" s="146" t="s">
        <v>119</v>
      </c>
      <c r="H68" s="146"/>
      <c r="I68" s="146"/>
    </row>
    <row r="69" spans="1:9" ht="14.45">
      <c r="A69" s="306"/>
      <c r="B69" s="404"/>
      <c r="C69" s="160" t="s">
        <v>7</v>
      </c>
      <c r="D69" s="161" t="s">
        <v>933</v>
      </c>
      <c r="E69" s="151" t="s">
        <v>934</v>
      </c>
      <c r="F69" s="146"/>
      <c r="G69" s="146" t="s">
        <v>119</v>
      </c>
      <c r="H69" s="146" t="s">
        <v>935</v>
      </c>
      <c r="I69" s="146"/>
    </row>
    <row r="70" spans="1:9" ht="14.45">
      <c r="A70" s="306"/>
      <c r="B70" s="404"/>
      <c r="C70" s="160" t="s">
        <v>7</v>
      </c>
      <c r="D70" s="161" t="s">
        <v>936</v>
      </c>
      <c r="E70" s="151" t="s">
        <v>937</v>
      </c>
      <c r="F70" s="146"/>
      <c r="G70" s="146" t="s">
        <v>118</v>
      </c>
      <c r="H70" s="146"/>
      <c r="I70" s="146"/>
    </row>
    <row r="71" spans="1:9" s="171" customFormat="1" ht="14.45">
      <c r="A71" s="306"/>
      <c r="B71" s="404"/>
      <c r="C71" s="175" t="s">
        <v>32</v>
      </c>
      <c r="D71" s="170" t="s">
        <v>938</v>
      </c>
      <c r="E71" s="169" t="s">
        <v>939</v>
      </c>
      <c r="F71" s="169"/>
      <c r="G71" s="169" t="s">
        <v>120</v>
      </c>
      <c r="H71" s="169"/>
      <c r="I71" s="169"/>
    </row>
    <row r="72" spans="1:9" ht="14.45">
      <c r="A72" s="306"/>
      <c r="B72" s="404"/>
      <c r="C72" s="160" t="s">
        <v>32</v>
      </c>
      <c r="D72" s="161" t="s">
        <v>940</v>
      </c>
      <c r="E72" s="151" t="s">
        <v>941</v>
      </c>
      <c r="F72" s="146"/>
      <c r="G72" s="146" t="s">
        <v>120</v>
      </c>
      <c r="H72" s="146" t="s">
        <v>942</v>
      </c>
      <c r="I72" s="146"/>
    </row>
    <row r="73" spans="1:9" ht="14.45">
      <c r="A73" s="306"/>
      <c r="B73" s="404"/>
      <c r="C73" s="160" t="s">
        <v>7</v>
      </c>
      <c r="D73" s="161" t="s">
        <v>943</v>
      </c>
      <c r="E73" s="148" t="s">
        <v>944</v>
      </c>
      <c r="F73" s="148"/>
      <c r="G73" s="148" t="s">
        <v>284</v>
      </c>
      <c r="H73" s="146"/>
      <c r="I73" s="146"/>
    </row>
    <row r="74" spans="1:9" ht="14.45">
      <c r="A74" s="306"/>
      <c r="B74" s="404"/>
      <c r="C74" s="160" t="s">
        <v>7</v>
      </c>
      <c r="D74" s="161" t="s">
        <v>945</v>
      </c>
      <c r="E74" s="148" t="s">
        <v>946</v>
      </c>
      <c r="F74" s="148"/>
      <c r="G74" s="148" t="s">
        <v>284</v>
      </c>
      <c r="H74" s="146"/>
      <c r="I74" s="146"/>
    </row>
    <row r="75" spans="1:9" ht="14.45">
      <c r="A75" s="306"/>
      <c r="B75" s="404"/>
      <c r="C75" s="160" t="s">
        <v>32</v>
      </c>
      <c r="D75" s="161" t="s">
        <v>947</v>
      </c>
      <c r="E75" s="151" t="s">
        <v>948</v>
      </c>
      <c r="F75" s="146"/>
      <c r="G75" s="146" t="s">
        <v>119</v>
      </c>
      <c r="H75" s="146" t="s">
        <v>949</v>
      </c>
      <c r="I75" s="146"/>
    </row>
    <row r="76" spans="1:9" ht="14.45">
      <c r="A76" s="306"/>
      <c r="B76" s="404"/>
      <c r="C76" s="186" t="s">
        <v>32</v>
      </c>
      <c r="D76" s="187" t="s">
        <v>950</v>
      </c>
      <c r="E76" s="188" t="s">
        <v>951</v>
      </c>
      <c r="F76" s="189"/>
      <c r="G76" s="189" t="s">
        <v>120</v>
      </c>
      <c r="H76" s="146"/>
      <c r="I76" s="146"/>
    </row>
    <row r="77" spans="1:9" ht="14.45">
      <c r="A77" s="306"/>
      <c r="B77" s="404"/>
      <c r="C77" s="160" t="s">
        <v>32</v>
      </c>
      <c r="D77" s="161" t="s">
        <v>952</v>
      </c>
      <c r="E77" s="151" t="s">
        <v>953</v>
      </c>
      <c r="F77" s="146"/>
      <c r="G77" s="146" t="s">
        <v>118</v>
      </c>
      <c r="H77" s="146"/>
      <c r="I77" s="146"/>
    </row>
    <row r="78" spans="1:9" ht="14.45">
      <c r="A78" s="306"/>
      <c r="B78" s="404"/>
      <c r="C78" s="160" t="s">
        <v>7</v>
      </c>
      <c r="D78" s="161" t="s">
        <v>954</v>
      </c>
      <c r="E78" s="151" t="s">
        <v>955</v>
      </c>
      <c r="F78" s="146"/>
      <c r="G78" s="146" t="s">
        <v>118</v>
      </c>
      <c r="H78" s="146"/>
      <c r="I78" s="146"/>
    </row>
    <row r="79" spans="1:9" ht="14.45">
      <c r="A79" s="306"/>
      <c r="B79" s="404"/>
      <c r="C79" s="165" t="s">
        <v>32</v>
      </c>
      <c r="D79" s="164" t="s">
        <v>956</v>
      </c>
      <c r="E79" s="148" t="s">
        <v>957</v>
      </c>
      <c r="F79" s="148"/>
      <c r="G79" s="146" t="s">
        <v>118</v>
      </c>
      <c r="H79" s="146"/>
      <c r="I79" s="146"/>
    </row>
    <row r="80" spans="1:9" ht="14.45">
      <c r="A80" s="405" t="s">
        <v>278</v>
      </c>
      <c r="B80" s="406"/>
      <c r="C80" s="146" t="s">
        <v>32</v>
      </c>
      <c r="D80" s="147" t="s">
        <v>958</v>
      </c>
      <c r="E80" s="146" t="s">
        <v>959</v>
      </c>
      <c r="F80" s="146"/>
      <c r="G80" s="146" t="s">
        <v>120</v>
      </c>
      <c r="H80" s="146"/>
      <c r="I80" s="146"/>
    </row>
    <row r="81" spans="1:9" ht="14.45">
      <c r="A81" s="306"/>
      <c r="B81" s="407"/>
      <c r="C81" s="146" t="s">
        <v>32</v>
      </c>
      <c r="D81" s="147" t="s">
        <v>960</v>
      </c>
      <c r="E81" s="146" t="s">
        <v>961</v>
      </c>
      <c r="F81" s="146"/>
      <c r="G81" s="146" t="s">
        <v>120</v>
      </c>
      <c r="H81" s="146"/>
      <c r="I81" s="146"/>
    </row>
    <row r="82" spans="1:9" ht="14.45">
      <c r="A82" s="306"/>
      <c r="B82" s="407"/>
      <c r="C82" s="146" t="s">
        <v>32</v>
      </c>
      <c r="D82" s="166" t="s">
        <v>962</v>
      </c>
      <c r="E82" s="148" t="s">
        <v>963</v>
      </c>
      <c r="F82" s="148"/>
      <c r="G82" s="146" t="s">
        <v>118</v>
      </c>
      <c r="H82" s="146"/>
      <c r="I82" s="146"/>
    </row>
    <row r="83" spans="1:9" ht="14.45">
      <c r="A83" s="306"/>
      <c r="B83" s="407"/>
      <c r="C83" s="146" t="s">
        <v>32</v>
      </c>
      <c r="D83" s="166" t="s">
        <v>964</v>
      </c>
      <c r="E83" s="148" t="s">
        <v>965</v>
      </c>
      <c r="F83" s="148"/>
      <c r="G83" s="146" t="s">
        <v>118</v>
      </c>
      <c r="H83" s="146"/>
      <c r="I83" s="146"/>
    </row>
    <row r="84" spans="1:9" ht="14.45">
      <c r="A84" s="306"/>
      <c r="B84" s="407"/>
      <c r="C84" s="146" t="s">
        <v>32</v>
      </c>
      <c r="D84" s="166" t="s">
        <v>966</v>
      </c>
      <c r="E84" s="146" t="s">
        <v>967</v>
      </c>
      <c r="F84" s="146"/>
      <c r="G84" s="146" t="s">
        <v>118</v>
      </c>
      <c r="H84" s="146"/>
      <c r="I84" s="146"/>
    </row>
    <row r="85" spans="1:9" ht="14.45">
      <c r="A85" s="306"/>
      <c r="B85" s="407"/>
      <c r="C85" s="146" t="s">
        <v>7</v>
      </c>
      <c r="D85" s="166" t="s">
        <v>968</v>
      </c>
      <c r="E85" s="146" t="s">
        <v>969</v>
      </c>
      <c r="F85" s="146"/>
      <c r="H85" s="146"/>
      <c r="I85" s="146"/>
    </row>
    <row r="86" spans="1:9" ht="14.45">
      <c r="A86" s="306"/>
      <c r="B86" s="407"/>
      <c r="C86" s="146" t="s">
        <v>7</v>
      </c>
      <c r="D86" s="166" t="s">
        <v>970</v>
      </c>
      <c r="E86" s="148" t="s">
        <v>971</v>
      </c>
      <c r="F86" s="148"/>
      <c r="G86" s="148" t="s">
        <v>923</v>
      </c>
      <c r="H86" s="146"/>
      <c r="I86" s="146"/>
    </row>
    <row r="87" spans="1:9" ht="14.45">
      <c r="A87" s="306"/>
      <c r="B87" s="407"/>
      <c r="C87" s="146" t="s">
        <v>32</v>
      </c>
      <c r="D87" s="166" t="s">
        <v>972</v>
      </c>
      <c r="E87" s="158" t="s">
        <v>973</v>
      </c>
      <c r="F87" s="146"/>
      <c r="G87" s="146" t="s">
        <v>120</v>
      </c>
      <c r="H87" s="146"/>
      <c r="I87" s="146"/>
    </row>
    <row r="88" spans="1:9" ht="14.45">
      <c r="A88" s="306"/>
      <c r="B88" s="407"/>
      <c r="C88" s="146" t="s">
        <v>32</v>
      </c>
      <c r="D88" s="166" t="s">
        <v>974</v>
      </c>
      <c r="E88" s="158" t="s">
        <v>975</v>
      </c>
      <c r="F88" s="146"/>
      <c r="G88" s="146" t="s">
        <v>119</v>
      </c>
      <c r="H88" s="146"/>
      <c r="I88" s="146"/>
    </row>
    <row r="89" spans="1:9" ht="14.45">
      <c r="A89" s="306"/>
      <c r="B89" s="407"/>
      <c r="C89" s="146" t="s">
        <v>32</v>
      </c>
      <c r="D89" s="166" t="s">
        <v>976</v>
      </c>
      <c r="E89" s="158" t="s">
        <v>977</v>
      </c>
      <c r="F89" s="146"/>
      <c r="G89" s="146" t="s">
        <v>120</v>
      </c>
      <c r="H89" s="146"/>
      <c r="I89" s="146"/>
    </row>
    <row r="90" spans="1:9" ht="14.45">
      <c r="A90" s="306"/>
      <c r="B90" s="407"/>
      <c r="C90" s="146" t="s">
        <v>32</v>
      </c>
      <c r="D90" s="166" t="s">
        <v>978</v>
      </c>
      <c r="E90" s="158" t="s">
        <v>979</v>
      </c>
      <c r="F90" s="146"/>
      <c r="G90" s="146" t="s">
        <v>120</v>
      </c>
      <c r="H90" s="146"/>
      <c r="I90" s="146"/>
    </row>
    <row r="91" spans="1:9" ht="14.45">
      <c r="A91" s="306"/>
      <c r="B91" s="407"/>
      <c r="C91" s="146" t="s">
        <v>32</v>
      </c>
      <c r="D91" s="166" t="s">
        <v>980</v>
      </c>
      <c r="E91" s="158" t="s">
        <v>981</v>
      </c>
      <c r="F91" s="146"/>
      <c r="G91" s="146" t="s">
        <v>119</v>
      </c>
      <c r="H91" s="146"/>
      <c r="I91" s="146"/>
    </row>
    <row r="92" spans="1:9" ht="14.45">
      <c r="A92" s="306"/>
      <c r="B92" s="407"/>
      <c r="C92" s="146" t="s">
        <v>32</v>
      </c>
      <c r="D92" s="166" t="s">
        <v>982</v>
      </c>
      <c r="E92" s="158" t="s">
        <v>983</v>
      </c>
      <c r="F92" s="146"/>
      <c r="G92" s="146" t="s">
        <v>119</v>
      </c>
      <c r="H92" s="146"/>
      <c r="I92" s="146"/>
    </row>
    <row r="93" spans="1:9" ht="14.45">
      <c r="A93" s="306"/>
      <c r="B93" s="407"/>
      <c r="C93" s="146" t="s">
        <v>32</v>
      </c>
      <c r="D93" s="166" t="s">
        <v>984</v>
      </c>
      <c r="E93" s="158" t="s">
        <v>985</v>
      </c>
      <c r="F93" s="146"/>
      <c r="G93" s="146" t="s">
        <v>119</v>
      </c>
      <c r="H93" s="146"/>
      <c r="I93" s="146"/>
    </row>
    <row r="94" spans="1:9" ht="14.45">
      <c r="A94" s="306"/>
      <c r="B94" s="407"/>
      <c r="C94" s="146" t="s">
        <v>32</v>
      </c>
      <c r="D94" s="166" t="s">
        <v>986</v>
      </c>
      <c r="E94" s="168" t="s">
        <v>987</v>
      </c>
      <c r="F94" s="148"/>
      <c r="G94" s="148" t="s">
        <v>120</v>
      </c>
      <c r="H94" s="146"/>
      <c r="I94" s="146"/>
    </row>
    <row r="95" spans="1:9" ht="14.45">
      <c r="A95" s="306"/>
      <c r="B95" s="407"/>
      <c r="C95" s="158" t="s">
        <v>32</v>
      </c>
      <c r="D95" s="166" t="s">
        <v>988</v>
      </c>
      <c r="E95" s="163" t="s">
        <v>989</v>
      </c>
      <c r="F95" s="146"/>
      <c r="G95" s="146" t="s">
        <v>120</v>
      </c>
      <c r="H95" s="146"/>
      <c r="I95" s="146"/>
    </row>
    <row r="96" spans="1:9" ht="14.45">
      <c r="A96" s="306"/>
      <c r="B96" s="407"/>
      <c r="C96" s="162" t="s">
        <v>32</v>
      </c>
      <c r="D96" s="166" t="s">
        <v>990</v>
      </c>
      <c r="E96" s="158" t="s">
        <v>991</v>
      </c>
      <c r="F96" s="146"/>
      <c r="G96" s="146" t="s">
        <v>120</v>
      </c>
      <c r="H96" s="146"/>
      <c r="I96" s="146"/>
    </row>
    <row r="97" spans="1:9" ht="14.45">
      <c r="A97" s="306"/>
      <c r="B97" s="407"/>
      <c r="C97" s="162" t="s">
        <v>32</v>
      </c>
      <c r="D97" s="166" t="s">
        <v>992</v>
      </c>
      <c r="E97" s="168" t="s">
        <v>993</v>
      </c>
      <c r="F97" s="146"/>
      <c r="G97" s="146" t="s">
        <v>994</v>
      </c>
      <c r="H97" s="146"/>
      <c r="I97" s="146"/>
    </row>
    <row r="98" spans="1:9" ht="14.45">
      <c r="A98" s="306"/>
      <c r="B98" s="407"/>
      <c r="C98" s="162" t="s">
        <v>32</v>
      </c>
      <c r="D98" s="166" t="s">
        <v>995</v>
      </c>
      <c r="E98" s="168" t="s">
        <v>996</v>
      </c>
      <c r="F98" s="146"/>
      <c r="G98" s="146" t="s">
        <v>118</v>
      </c>
      <c r="H98" s="146"/>
      <c r="I98" s="146"/>
    </row>
    <row r="99" spans="1:9" ht="14.45">
      <c r="A99" s="306"/>
      <c r="B99" s="407"/>
      <c r="C99" s="162" t="s">
        <v>7</v>
      </c>
      <c r="D99" s="166" t="s">
        <v>997</v>
      </c>
      <c r="E99" s="146" t="s">
        <v>998</v>
      </c>
      <c r="F99" s="146"/>
      <c r="G99" s="146" t="s">
        <v>284</v>
      </c>
      <c r="H99" s="146"/>
      <c r="I99" s="146"/>
    </row>
    <row r="100" spans="1:9" ht="14.45">
      <c r="A100" s="306"/>
      <c r="B100" s="407"/>
      <c r="C100" s="162" t="s">
        <v>7</v>
      </c>
      <c r="D100" s="166" t="s">
        <v>999</v>
      </c>
      <c r="E100" s="146" t="s">
        <v>1000</v>
      </c>
      <c r="F100" s="146"/>
      <c r="G100" s="146"/>
      <c r="H100" s="146"/>
      <c r="I100" s="146"/>
    </row>
    <row r="101" spans="1:9" ht="14.45" customHeight="1">
      <c r="A101" s="306"/>
      <c r="B101" s="407"/>
    </row>
    <row r="102" spans="1:9" ht="14.45" customHeight="1">
      <c r="A102" s="306"/>
      <c r="B102" s="407"/>
      <c r="C102" t="s">
        <v>7</v>
      </c>
      <c r="D102" s="167" t="s">
        <v>1001</v>
      </c>
      <c r="E102" t="s">
        <v>1002</v>
      </c>
    </row>
    <row r="103" spans="1:9" ht="15" customHeight="1">
      <c r="A103" s="306"/>
      <c r="B103" s="408"/>
      <c r="C103" s="148" t="s">
        <v>7</v>
      </c>
      <c r="D103" s="164" t="s">
        <v>1003</v>
      </c>
      <c r="E103" s="148" t="s">
        <v>1004</v>
      </c>
      <c r="F103" s="148"/>
      <c r="G103" s="148" t="s">
        <v>923</v>
      </c>
    </row>
    <row r="104" spans="1:9" ht="14.45" customHeight="1">
      <c r="A104" s="401" t="s">
        <v>300</v>
      </c>
      <c r="B104" s="1"/>
      <c r="C104" s="1" t="s">
        <v>32</v>
      </c>
      <c r="D104" s="1" t="s">
        <v>1005</v>
      </c>
      <c r="E104" s="1" t="s">
        <v>1006</v>
      </c>
      <c r="F104" s="146"/>
      <c r="G104" s="146" t="s">
        <v>119</v>
      </c>
    </row>
    <row r="105" spans="1:9" ht="14.45">
      <c r="A105" s="402"/>
      <c r="B105" s="1"/>
      <c r="C105" s="1" t="s">
        <v>32</v>
      </c>
      <c r="D105" s="1" t="s">
        <v>960</v>
      </c>
      <c r="E105" s="1" t="s">
        <v>961</v>
      </c>
      <c r="F105" s="146"/>
      <c r="G105" s="146" t="s">
        <v>120</v>
      </c>
    </row>
    <row r="106" spans="1:9" ht="14.45">
      <c r="A106" s="402"/>
      <c r="B106" s="1"/>
      <c r="C106" s="1" t="s">
        <v>32</v>
      </c>
      <c r="D106" s="1" t="s">
        <v>958</v>
      </c>
      <c r="E106" s="1" t="s">
        <v>959</v>
      </c>
      <c r="F106" s="146"/>
      <c r="G106" s="146" t="s">
        <v>120</v>
      </c>
    </row>
    <row r="107" spans="1:9" ht="14.45" customHeight="1">
      <c r="A107" s="403"/>
      <c r="B107" s="81"/>
      <c r="C107" s="152" t="s">
        <v>7</v>
      </c>
      <c r="D107" s="153" t="s">
        <v>1007</v>
      </c>
      <c r="E107" s="152" t="s">
        <v>1008</v>
      </c>
      <c r="F107" s="152"/>
      <c r="G107" s="152" t="s">
        <v>118</v>
      </c>
    </row>
    <row r="108" spans="1:9" ht="14.45">
      <c r="A108" s="140"/>
      <c r="B108" s="140"/>
      <c r="C108" s="152" t="s">
        <v>32</v>
      </c>
      <c r="D108" s="153" t="s">
        <v>774</v>
      </c>
      <c r="E108" s="152" t="s">
        <v>775</v>
      </c>
      <c r="F108" s="152"/>
      <c r="G108" s="152" t="s">
        <v>120</v>
      </c>
    </row>
    <row r="109" spans="1:9" ht="14.45">
      <c r="A109" s="140"/>
      <c r="B109" s="140"/>
      <c r="C109" s="152" t="s">
        <v>32</v>
      </c>
      <c r="D109" s="153" t="s">
        <v>776</v>
      </c>
      <c r="E109" s="152" t="s">
        <v>777</v>
      </c>
      <c r="F109" s="152"/>
      <c r="G109" s="152" t="s">
        <v>120</v>
      </c>
    </row>
    <row r="110" spans="1:9" ht="14.45">
      <c r="A110" s="140"/>
      <c r="B110" s="140"/>
      <c r="C110" s="152" t="s">
        <v>32</v>
      </c>
      <c r="D110" s="153" t="s">
        <v>778</v>
      </c>
      <c r="E110" s="152" t="s">
        <v>779</v>
      </c>
      <c r="F110" s="152"/>
      <c r="G110" s="152" t="s">
        <v>119</v>
      </c>
    </row>
    <row r="111" spans="1:9" ht="14.45">
      <c r="A111" s="140"/>
      <c r="B111" s="140"/>
      <c r="C111" s="152" t="s">
        <v>32</v>
      </c>
      <c r="D111" s="153" t="s">
        <v>780</v>
      </c>
      <c r="E111" s="152" t="s">
        <v>781</v>
      </c>
      <c r="F111" s="152"/>
      <c r="G111" s="152" t="s">
        <v>119</v>
      </c>
    </row>
    <row r="112" spans="1:9" ht="14.45">
      <c r="A112" s="140"/>
      <c r="B112" s="140"/>
      <c r="C112" s="152" t="s">
        <v>32</v>
      </c>
      <c r="D112" s="153" t="s">
        <v>782</v>
      </c>
      <c r="E112" s="152" t="s">
        <v>783</v>
      </c>
      <c r="F112" s="152"/>
      <c r="G112" s="152" t="s">
        <v>119</v>
      </c>
    </row>
    <row r="113" spans="1:7" ht="14.45">
      <c r="A113" s="140"/>
      <c r="B113" s="140"/>
      <c r="C113" s="152" t="s">
        <v>32</v>
      </c>
      <c r="D113" s="153" t="s">
        <v>784</v>
      </c>
      <c r="E113" s="152" t="s">
        <v>785</v>
      </c>
      <c r="F113" s="152"/>
      <c r="G113" s="152" t="s">
        <v>119</v>
      </c>
    </row>
    <row r="114" spans="1:7" s="172" customFormat="1" ht="14.45">
      <c r="C114" s="173" t="s">
        <v>32</v>
      </c>
      <c r="D114" s="174" t="s">
        <v>786</v>
      </c>
      <c r="E114" s="173" t="s">
        <v>787</v>
      </c>
      <c r="F114" s="173"/>
      <c r="G114" s="173"/>
    </row>
    <row r="115" spans="1:7" s="140" customFormat="1" ht="14.45">
      <c r="C115" s="176" t="s">
        <v>7</v>
      </c>
      <c r="D115" s="177" t="s">
        <v>1009</v>
      </c>
      <c r="E115" s="152" t="s">
        <v>1010</v>
      </c>
      <c r="F115" s="152"/>
      <c r="G115" s="152" t="s">
        <v>118</v>
      </c>
    </row>
    <row r="116" spans="1:7" s="140" customFormat="1" ht="14.45">
      <c r="C116" s="152" t="s">
        <v>7</v>
      </c>
      <c r="D116" s="153" t="s">
        <v>379</v>
      </c>
      <c r="E116" s="152" t="s">
        <v>1011</v>
      </c>
    </row>
  </sheetData>
  <autoFilter ref="A1:I116" xr:uid="{366E513B-4EFC-4819-83BB-42E67ADB8365}"/>
  <mergeCells count="11">
    <mergeCell ref="A104:A107"/>
    <mergeCell ref="A64:A79"/>
    <mergeCell ref="B64:B79"/>
    <mergeCell ref="A80:A103"/>
    <mergeCell ref="B80:B103"/>
    <mergeCell ref="A2:A18"/>
    <mergeCell ref="B2:B18"/>
    <mergeCell ref="B19:B39"/>
    <mergeCell ref="A19:A39"/>
    <mergeCell ref="B41:B63"/>
    <mergeCell ref="A41:A63"/>
  </mergeCells>
  <hyperlinks>
    <hyperlink ref="D2" r:id="rId1" xr:uid="{5EB42E70-3871-4B7A-BD9B-6F82F3062F0A}"/>
    <hyperlink ref="D3" r:id="rId2" xr:uid="{EF3BB6D4-A3B3-4967-9C79-5E67C2651594}"/>
    <hyperlink ref="D4" r:id="rId3" xr:uid="{566C411F-391F-412A-859A-3EFF54FDEFAB}"/>
    <hyperlink ref="D5" r:id="rId4" xr:uid="{D37F6DF7-A93A-421F-BC32-DDA0DEBD7EC5}"/>
    <hyperlink ref="D6" r:id="rId5" xr:uid="{201D2417-0CD3-41E3-BB85-E3E13F6B592C}"/>
    <hyperlink ref="D7" r:id="rId6" xr:uid="{A7CC3FEF-4790-4DFC-A894-C3BCF766BEB1}"/>
    <hyperlink ref="D8" r:id="rId7" xr:uid="{BAEFD455-5533-4A5B-AFF2-BFE14D335CF6}"/>
    <hyperlink ref="D9" r:id="rId8" xr:uid="{CDD6A0B2-1D35-4C84-8337-40B0CFE7846D}"/>
    <hyperlink ref="D10" r:id="rId9" xr:uid="{9971DCE0-FE3B-4600-92B7-E5F152444CDA}"/>
    <hyperlink ref="D11" r:id="rId10" xr:uid="{3BFF894B-5FE9-47D5-9E1E-C01AADF0EDDF}"/>
    <hyperlink ref="D12" r:id="rId11" xr:uid="{E06B889E-D88C-4906-9687-367482EEA4F9}"/>
    <hyperlink ref="D13" r:id="rId12" xr:uid="{416C3EB7-4072-441E-849A-1F70D9D1EE22}"/>
    <hyperlink ref="D14" r:id="rId13" xr:uid="{8C1F8990-613F-47FC-B970-A4AEC4628B1C}"/>
    <hyperlink ref="D15" r:id="rId14" xr:uid="{854AB68E-6B3D-45AA-81E1-B7CF2D25A2E0}"/>
    <hyperlink ref="D16" r:id="rId15" xr:uid="{C0ECBC8D-83D3-4BE1-8E55-9867CA3F981C}"/>
    <hyperlink ref="D17" r:id="rId16" xr:uid="{94FFD7D6-5E7B-42FF-8211-27BDF363DDF5}"/>
    <hyperlink ref="D18" r:id="rId17" xr:uid="{C25AF783-BB74-4DA7-81CA-CBE84D084542}"/>
    <hyperlink ref="D19" r:id="rId18" display="https://jira.wiley.com/browse/CT-10436" xr:uid="{897150A8-5062-4B7F-A9A6-FD6DC8725C7B}"/>
    <hyperlink ref="D20" r:id="rId19" display="https://jira.wiley.com/browse/CT-10415" xr:uid="{8F43B833-58E1-4396-B1F3-711DFF309185}"/>
    <hyperlink ref="D21" r:id="rId20" display="https://jira.wiley.com/browse/CT-10400" xr:uid="{C6BAFB2D-8DAC-49D9-B319-1A1F398F1DDC}"/>
    <hyperlink ref="D22" r:id="rId21" display="https://jira.wiley.com/browse/CT-10399" xr:uid="{3B54B7F3-B7D6-4C42-80A7-D88DE3596677}"/>
    <hyperlink ref="D23" r:id="rId22" display="https://jira.wiley.com/browse/CT-10397" xr:uid="{6A3097C7-A774-4BB0-B73E-BD06DB602381}"/>
    <hyperlink ref="D24" r:id="rId23" display="https://jira.wiley.com/browse/CT-10392" xr:uid="{14843A41-0633-4244-BD66-513FE22C60E0}"/>
    <hyperlink ref="D25" r:id="rId24" display="https://jira.wiley.com/browse/CT-10390" xr:uid="{35821473-5FA6-4F10-9F09-30C0E56B29F6}"/>
    <hyperlink ref="D26" r:id="rId25" display="https://jira.wiley.com/browse/CT-10384" xr:uid="{938F2E5D-4C4C-422D-8EB1-DF755870E655}"/>
    <hyperlink ref="D27" r:id="rId26" display="https://jira.wiley.com/browse/CT-10379" xr:uid="{327C2CFD-72C2-4F2A-AEA0-5DE65B0D7EB2}"/>
    <hyperlink ref="D28" r:id="rId27" display="https://jira.wiley.com/browse/CT-10371" xr:uid="{1FCB32F2-0474-4D86-B9E9-DBC1540BB741}"/>
    <hyperlink ref="D29" r:id="rId28" display="https://jira.wiley.com/browse/CT-10244" xr:uid="{1C2772EB-14DD-4B0B-8895-9FF612296D25}"/>
    <hyperlink ref="D30" r:id="rId29" display="https://jira.wiley.com/browse/CT-10243" xr:uid="{FEE1AC36-E5A7-49DA-9EDD-E7689E0502A1}"/>
    <hyperlink ref="D31" r:id="rId30" display="https://jira.wiley.com/browse/CT-10226" xr:uid="{5CD1CAD4-37EB-48A9-9AC1-C21F0DD8D2F8}"/>
    <hyperlink ref="D32" r:id="rId31" display="https://jira.wiley.com/browse/CT-10225" xr:uid="{5FDB2CA9-904D-4CAB-AF93-0C06997E8328}"/>
    <hyperlink ref="D33" r:id="rId32" display="https://jira.wiley.com/browse/CT-10224" xr:uid="{413540A7-1459-4952-986A-394B3FCA55CD}"/>
    <hyperlink ref="D60" r:id="rId33" display="https://jira.wiley.com/browse/CT-10223" xr:uid="{0C30F6F8-6EC8-4877-B802-ADCFA19FC571}"/>
    <hyperlink ref="D61" r:id="rId34" display="https://jira.wiley.com/browse/CT-10221" xr:uid="{63A6FF6A-9656-410B-B10D-CCC381B9578B}"/>
    <hyperlink ref="D38" r:id="rId35" display="https://jira.wiley.com/browse/CT-10189" xr:uid="{79DD0C16-B3F5-4E4C-B33C-175DD0CAF550}"/>
    <hyperlink ref="D39" r:id="rId36" display="https://jira.wiley.com/browse/CT-10149" xr:uid="{25946B81-E09C-4AF5-A29E-C37539932FAA}"/>
    <hyperlink ref="D41" r:id="rId37" display="https://jira.wiley.com/browse/CT-10427" xr:uid="{817751D0-CA0E-4960-A6C2-779DB8ECEE67}"/>
    <hyperlink ref="D42" r:id="rId38" display="https://jira.wiley.com/browse/CT-10425" xr:uid="{E07FF429-03EE-4211-B94E-E9512DD041BA}"/>
    <hyperlink ref="D43" r:id="rId39" display="https://jira.wiley.com/browse/CT-10423" xr:uid="{4835B403-4867-499E-B5AF-5D5CC871C510}"/>
    <hyperlink ref="D44" r:id="rId40" display="https://jira.wiley.com/browse/CT-10421" xr:uid="{6DAB2978-2937-4DEA-A986-4A06B6AF03C8}"/>
    <hyperlink ref="D45" r:id="rId41" display="https://jira.wiley.com/browse/CT-10406" xr:uid="{AF3041D2-AC31-4D8B-9AF6-723467F21BFE}"/>
    <hyperlink ref="D46" r:id="rId42" display="https://jira.wiley.com/browse/CT-10374" xr:uid="{6BCF6EA9-E26F-4E55-933F-57A4CC32F0BB}"/>
    <hyperlink ref="D47" r:id="rId43" display="https://jira.wiley.com/browse/CT-10370" xr:uid="{A86C2D01-B395-418F-9D2F-E16FB9D4DF2A}"/>
    <hyperlink ref="D48" r:id="rId44" display="https://jira.wiley.com/browse/CT-10348" xr:uid="{1B37879F-1C59-4872-861C-359ECD8F053B}"/>
    <hyperlink ref="D49" r:id="rId45" display="https://jira.wiley.com/browse/CT-10343" xr:uid="{0F6BCDD2-19F6-49E3-B566-1EE044E91A02}"/>
    <hyperlink ref="D50" r:id="rId46" display="https://jira.wiley.com/browse/CT-10342" xr:uid="{69694190-D8EB-420D-9546-F14B497D977B}"/>
    <hyperlink ref="D51" r:id="rId47" display="https://jira.wiley.com/browse/CT-10341" xr:uid="{0644EF13-E3FF-4EF8-97DE-C73FF226E2AE}"/>
    <hyperlink ref="D52" r:id="rId48" display="https://jira.wiley.com/browse/CT-10340" xr:uid="{CD87869B-2A62-48DE-8104-5AA27C38B4A5}"/>
    <hyperlink ref="D53" r:id="rId49" display="https://jira.wiley.com/browse/CT-10339" xr:uid="{63B96CB6-A3A4-461B-8F36-E7F701483AEA}"/>
    <hyperlink ref="D54" r:id="rId50" display="https://jira.wiley.com/browse/CT-10274" xr:uid="{2CCA7AD4-70CA-4B5B-B204-99DD656AF394}"/>
    <hyperlink ref="D55" r:id="rId51" display="https://jira.wiley.com/browse/CT-10271" xr:uid="{69A96B19-DFA3-4443-A31A-3A62047C2378}"/>
    <hyperlink ref="D56" r:id="rId52" display="https://jira.wiley.com/browse/CT-10247" xr:uid="{C37F9669-E5E3-4FA1-923C-297A67921B1B}"/>
    <hyperlink ref="D57" r:id="rId53" display="https://jira.wiley.com/browse/CT-10246" xr:uid="{C7903586-A692-4307-9873-E386FE39C654}"/>
    <hyperlink ref="D58" r:id="rId54" display="https://jira.wiley.com/browse/CT-10245" xr:uid="{50D54D17-4C19-45C6-8E0D-4D2D93552432}"/>
    <hyperlink ref="D63" r:id="rId55" display="https://jira.wiley.com/browse/CT-10198" xr:uid="{4375E98B-104F-455D-B876-1C0FEC83E2C5}"/>
    <hyperlink ref="D72" r:id="rId56" display="https://jira.wiley.com/browse/CT-10435" xr:uid="{98B1B17B-9BDD-49DF-9CBC-6EC7EFE945F8}"/>
    <hyperlink ref="D73" r:id="rId57" display="https://jira.wiley.com/browse/CT-10426" xr:uid="{BFF16C63-118C-4787-868C-7BB4F4D937D9}"/>
    <hyperlink ref="D74" r:id="rId58" display="https://jira.wiley.com/browse/CT-10424" xr:uid="{A50B416A-B130-42E2-9182-4F87F3CE976A}"/>
    <hyperlink ref="D103" r:id="rId59" display="https://jira.wiley.com/browse/CT-10401" xr:uid="{572F29E0-19DD-4FC0-9088-C432D0D0DD68}"/>
    <hyperlink ref="D62" r:id="rId60" display="https://jira.wiley.com/browse/CT-10378" xr:uid="{F3048502-0B2A-4F12-92FA-DA4AA93A3F00}"/>
    <hyperlink ref="D75" r:id="rId61" display="https://jira.wiley.com/browse/CT-10355" xr:uid="{7644DED6-7203-428F-9F39-F25396E21CD5}"/>
    <hyperlink ref="D76" r:id="rId62" display="https://jira.wiley.com/browse/CT-10345" xr:uid="{F6636523-B8CD-4DEB-A16A-2D58798E799E}"/>
    <hyperlink ref="D77" r:id="rId63" display="https://jira.wiley.com/browse/CT-10344" xr:uid="{62FA1D4B-0D17-4483-B87B-8AD4C41842C1}"/>
    <hyperlink ref="D78" r:id="rId64" display="https://jira.wiley.com/browse/CT-9846" xr:uid="{CE5A56C0-2096-48AD-A387-5D73A529B577}"/>
    <hyperlink ref="D107" r:id="rId65" display="https://jira.wiley.com/browse/CT-9759" xr:uid="{5AE59D4A-3DB4-4D93-A861-D5F6387453BE}"/>
    <hyperlink ref="D79" r:id="rId66" display="https://jira.wiley.com/browse/CT-9541" xr:uid="{017FCFB7-B28F-4C6B-AC6E-F6003D18BB4D}"/>
    <hyperlink ref="D80" r:id="rId67" display="https://jira.wiley.com/browse/CT-10434" xr:uid="{289ABC2B-813C-494F-A264-BDFA6245B2C5}"/>
    <hyperlink ref="D81" r:id="rId68" display="https://jira.wiley.com/browse/CT-10433" xr:uid="{27B8442D-A54E-40DD-98A3-89BD09B203B4}"/>
    <hyperlink ref="D82" r:id="rId69" display="https://jira.wiley.com/browse/CT-10432" xr:uid="{66F47692-E730-4828-A43A-F00CCC7424E5}"/>
    <hyperlink ref="D83" r:id="rId70" display="https://jira.wiley.com/browse/CT-10431" xr:uid="{8E49634F-1556-4E43-8D3A-3F001756D898}"/>
    <hyperlink ref="D84" r:id="rId71" display="https://jira.wiley.com/browse/CT-10430" xr:uid="{F707F2CC-C9BF-42F3-8DF0-EF940E7D432F}"/>
    <hyperlink ref="D85" r:id="rId72" display="https://jira.wiley.com/browse/CT-10420" xr:uid="{65A87A78-DFCC-4AF7-83A9-6F403E4206C5}"/>
    <hyperlink ref="D86" r:id="rId73" display="https://jira.wiley.com/browse/CT-10402" xr:uid="{B45FF6C7-5EF3-4A5A-ADBB-724D24FEF2AF}"/>
    <hyperlink ref="D37" r:id="rId74" display="https://jira.wiley.com/browse/CT-10422" xr:uid="{346DC064-55B8-48D0-931B-E2C8CCD1736A}"/>
    <hyperlink ref="D34" r:id="rId75" display="https://jira.wiley.com/browse/CT-9118" xr:uid="{A81AAC2D-C30B-4B62-A069-96B95D5FE1EC}"/>
    <hyperlink ref="D95" r:id="rId76" display="https://jira.wiley.com/browse/CT-10429" xr:uid="{EB9691E5-CFAE-45F7-A7FC-CDDA8CA4AAE1}"/>
    <hyperlink ref="D94" r:id="rId77" display="https://jira.wiley.com/browse/CT-10356" xr:uid="{033579B4-F4EB-4F26-AA83-25792C4D6516}"/>
    <hyperlink ref="D87" r:id="rId78" display="https://jira.wiley.com/browse/CT-10364" xr:uid="{1BFA7E75-F3F0-48B0-9477-7C518C80B4AE}"/>
    <hyperlink ref="D88" r:id="rId79" display="https://jira.wiley.com/browse/CT-10363" xr:uid="{8EC699B9-C76F-4F97-A80F-C8C8C08ED4D8}"/>
    <hyperlink ref="D89" r:id="rId80" display="https://jira.wiley.com/browse/CT-10361" xr:uid="{259A9806-7FC7-4DAF-AFE7-B77D6C9533F0}"/>
    <hyperlink ref="D90" r:id="rId81" display="https://jira.wiley.com/browse/CT-10360" xr:uid="{0B29664D-D5D5-4D9F-83B4-D8DEB75C3AAA}"/>
    <hyperlink ref="D91" r:id="rId82" display="https://jira.wiley.com/browse/CT-10359" xr:uid="{DBE66568-0D6D-47E3-B909-48798FAE2B58}"/>
    <hyperlink ref="D92" r:id="rId83" display="https://jira.wiley.com/browse/CT-10358" xr:uid="{E0E937D3-C7B4-4AC6-BC02-0002B098D3A4}"/>
    <hyperlink ref="D93" r:id="rId84" display="https://jira.wiley.com/browse/CT-10357" xr:uid="{107EC928-0878-4FDE-B419-1E4E496B11C8}"/>
    <hyperlink ref="D108" r:id="rId85" display="https://jira.wiley.com/browse/CT-10270" xr:uid="{92916F08-4C1F-4AA2-B71B-92E1835EF4A5}"/>
    <hyperlink ref="D109" r:id="rId86" display="https://jira.wiley.com/browse/CT-10269" xr:uid="{84836D66-627F-4DC8-B4CD-DFB0E07D820A}"/>
    <hyperlink ref="D110" r:id="rId87" display="https://jira.wiley.com/browse/CT-10268" xr:uid="{26DEDB04-5640-4658-8A64-2D6735726A9E}"/>
    <hyperlink ref="D111" r:id="rId88" display="https://jira.wiley.com/browse/CT-10267" xr:uid="{54727B7A-BE44-4DA0-BF61-C80A4EDCC12A}"/>
    <hyperlink ref="D112" r:id="rId89" display="https://jira.wiley.com/browse/CT-10266" xr:uid="{9C8D110B-C9C7-457B-ACD9-2971E053FB61}"/>
    <hyperlink ref="D113" r:id="rId90" display="https://jira.wiley.com/browse/CT-10265" xr:uid="{C40F6287-FDFF-45B8-B580-80ED6667687E}"/>
    <hyperlink ref="D114" r:id="rId91" display="https://jira.wiley.com/browse/CT-10264" xr:uid="{B3F692C5-FB3E-44D8-8554-6AB24B0B1FE3}"/>
    <hyperlink ref="D115" r:id="rId92" display="https://jira.wiley.com/browse/CT-9758" xr:uid="{BC80FF59-CD2C-4E53-B3E8-5206B28F828A}"/>
    <hyperlink ref="D116" r:id="rId93" display="https://jira.wiley.com/browse/CT-9370" xr:uid="{C06B1888-CFCD-4E6A-B6D5-3178B181FA42}"/>
  </hyperlinks>
  <pageMargins left="0.7" right="0.7" top="0.75" bottom="0.75" header="0.3" footer="0.3"/>
  <pageSetup orientation="portrait" r:id="rId9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16A1C-EE59-4E25-8F20-57C742F299E5}">
  <sheetPr codeName="Sheet8"/>
  <dimension ref="A1:K114"/>
  <sheetViews>
    <sheetView zoomScaleNormal="85" workbookViewId="0">
      <selection activeCell="E17" sqref="E17"/>
    </sheetView>
  </sheetViews>
  <sheetFormatPr defaultRowHeight="14.1"/>
  <cols>
    <col min="3" max="3" width="12.375" bestFit="1" customWidth="1"/>
    <col min="5" max="5" width="69.375" customWidth="1"/>
    <col min="7" max="7" width="8.375" bestFit="1" customWidth="1"/>
    <col min="8" max="8" width="27.125" customWidth="1"/>
    <col min="9" max="9" width="26.375" customWidth="1"/>
    <col min="10" max="10" width="20.375" customWidth="1"/>
  </cols>
  <sheetData>
    <row r="1" spans="1:10" ht="27.95">
      <c r="A1" s="53" t="s">
        <v>50</v>
      </c>
      <c r="B1" s="53" t="s">
        <v>108</v>
      </c>
      <c r="C1" s="53" t="s">
        <v>109</v>
      </c>
      <c r="D1" s="53" t="s">
        <v>110</v>
      </c>
      <c r="E1" s="53" t="s">
        <v>111</v>
      </c>
      <c r="F1" s="53" t="s">
        <v>466</v>
      </c>
      <c r="G1" s="53" t="s">
        <v>3</v>
      </c>
      <c r="H1" s="53" t="s">
        <v>788</v>
      </c>
      <c r="I1" s="53" t="s">
        <v>789</v>
      </c>
    </row>
    <row r="2" spans="1:10">
      <c r="A2" s="345" t="s">
        <v>116</v>
      </c>
      <c r="B2" s="415"/>
      <c r="C2" s="108"/>
      <c r="D2" s="84" t="s">
        <v>1012</v>
      </c>
      <c r="E2" s="110" t="s">
        <v>1013</v>
      </c>
      <c r="F2" s="2"/>
      <c r="G2" s="2"/>
      <c r="H2" s="2"/>
      <c r="I2" s="2"/>
    </row>
    <row r="3" spans="1:10">
      <c r="A3" s="344"/>
      <c r="B3" s="416"/>
      <c r="C3" s="108"/>
      <c r="D3" s="115" t="s">
        <v>1014</v>
      </c>
      <c r="E3" s="111" t="s">
        <v>1015</v>
      </c>
      <c r="F3" s="2">
        <v>3</v>
      </c>
      <c r="G3" s="2" t="s">
        <v>118</v>
      </c>
      <c r="H3" s="2"/>
      <c r="I3" s="2"/>
      <c r="J3" t="s">
        <v>284</v>
      </c>
    </row>
    <row r="4" spans="1:10">
      <c r="A4" s="344"/>
      <c r="B4" s="416"/>
      <c r="C4" s="108"/>
      <c r="D4" s="84" t="s">
        <v>1016</v>
      </c>
      <c r="E4" s="112" t="s">
        <v>1017</v>
      </c>
      <c r="F4" s="2">
        <v>2</v>
      </c>
      <c r="G4" s="2" t="s">
        <v>119</v>
      </c>
      <c r="H4" s="2"/>
      <c r="I4" s="2"/>
    </row>
    <row r="5" spans="1:10">
      <c r="A5" s="317"/>
      <c r="B5" s="416"/>
      <c r="C5" s="84"/>
      <c r="D5" s="25" t="s">
        <v>1018</v>
      </c>
      <c r="E5" s="112" t="s">
        <v>1019</v>
      </c>
      <c r="F5" s="2">
        <v>3</v>
      </c>
      <c r="G5" s="2" t="s">
        <v>119</v>
      </c>
      <c r="H5" s="2"/>
      <c r="I5" s="2"/>
    </row>
    <row r="6" spans="1:10" ht="27.95">
      <c r="A6" s="317"/>
      <c r="B6" s="416"/>
      <c r="C6" s="84"/>
      <c r="D6" s="25" t="s">
        <v>1020</v>
      </c>
      <c r="E6" s="111" t="s">
        <v>1021</v>
      </c>
      <c r="F6" s="2">
        <v>3</v>
      </c>
      <c r="G6" s="2" t="s">
        <v>118</v>
      </c>
      <c r="H6" s="2"/>
      <c r="I6" s="2"/>
    </row>
    <row r="7" spans="1:10">
      <c r="A7" s="317"/>
      <c r="B7" s="416"/>
      <c r="C7" s="84"/>
      <c r="D7" s="25" t="s">
        <v>1022</v>
      </c>
      <c r="E7" s="111" t="s">
        <v>1023</v>
      </c>
      <c r="F7" s="2">
        <v>2</v>
      </c>
      <c r="G7" s="2" t="s">
        <v>118</v>
      </c>
      <c r="H7" s="2"/>
      <c r="I7" s="2"/>
    </row>
    <row r="8" spans="1:10">
      <c r="A8" s="317"/>
      <c r="B8" s="416"/>
      <c r="C8" s="84"/>
      <c r="D8" s="25" t="s">
        <v>1024</v>
      </c>
      <c r="E8" s="112" t="s">
        <v>1025</v>
      </c>
      <c r="F8" s="2">
        <v>2</v>
      </c>
      <c r="G8" s="2" t="s">
        <v>119</v>
      </c>
      <c r="H8" s="2"/>
      <c r="I8" s="2"/>
    </row>
    <row r="9" spans="1:10">
      <c r="A9" s="317"/>
      <c r="B9" s="416"/>
      <c r="C9" s="84"/>
      <c r="D9" s="25" t="s">
        <v>1026</v>
      </c>
      <c r="E9" s="113" t="s">
        <v>1027</v>
      </c>
      <c r="F9" s="2">
        <v>2</v>
      </c>
      <c r="G9" s="2" t="s">
        <v>120</v>
      </c>
      <c r="H9" s="2"/>
      <c r="I9" s="2">
        <v>4</v>
      </c>
    </row>
    <row r="10" spans="1:10">
      <c r="A10" s="317"/>
      <c r="B10" s="416"/>
      <c r="C10" s="84"/>
      <c r="D10" s="25" t="s">
        <v>1028</v>
      </c>
      <c r="E10" s="113" t="s">
        <v>1029</v>
      </c>
      <c r="F10" s="2">
        <v>2</v>
      </c>
      <c r="G10" s="2" t="s">
        <v>120</v>
      </c>
      <c r="H10" s="2"/>
      <c r="I10" s="2">
        <v>8</v>
      </c>
    </row>
    <row r="11" spans="1:10">
      <c r="A11" s="317"/>
      <c r="B11" s="416"/>
      <c r="C11" s="84"/>
      <c r="D11" s="25" t="s">
        <v>1030</v>
      </c>
      <c r="E11" s="113" t="s">
        <v>1031</v>
      </c>
      <c r="F11" s="2">
        <v>2</v>
      </c>
      <c r="G11" s="2" t="s">
        <v>120</v>
      </c>
      <c r="H11" s="2"/>
      <c r="I11" s="2">
        <v>18</v>
      </c>
    </row>
    <row r="12" spans="1:10">
      <c r="A12" s="317"/>
      <c r="B12" s="416"/>
      <c r="C12" s="84"/>
      <c r="D12" s="25" t="s">
        <v>1032</v>
      </c>
      <c r="E12" s="110" t="s">
        <v>1033</v>
      </c>
      <c r="F12" s="84"/>
      <c r="G12" s="2"/>
      <c r="H12" s="2"/>
      <c r="I12" s="2"/>
    </row>
    <row r="13" spans="1:10">
      <c r="A13" s="317"/>
      <c r="B13" s="416"/>
      <c r="C13" s="84"/>
      <c r="D13" s="25" t="s">
        <v>1034</v>
      </c>
      <c r="E13" s="110" t="s">
        <v>1035</v>
      </c>
      <c r="F13" s="84"/>
      <c r="G13" s="2"/>
      <c r="H13" s="2"/>
      <c r="I13" s="2"/>
    </row>
    <row r="14" spans="1:10">
      <c r="A14" s="317"/>
      <c r="B14" s="416"/>
      <c r="C14" s="84"/>
      <c r="D14" s="25" t="s">
        <v>1036</v>
      </c>
      <c r="E14" s="114" t="s">
        <v>1037</v>
      </c>
      <c r="F14" s="84"/>
      <c r="G14" s="2"/>
      <c r="H14" s="2"/>
      <c r="I14" s="2"/>
    </row>
    <row r="15" spans="1:10">
      <c r="A15" s="318"/>
      <c r="B15" s="416"/>
      <c r="C15" s="84"/>
      <c r="D15" s="25" t="s">
        <v>1038</v>
      </c>
      <c r="E15" s="114" t="s">
        <v>1039</v>
      </c>
      <c r="F15" s="84"/>
      <c r="G15" s="2"/>
      <c r="H15" s="2"/>
      <c r="I15" s="2"/>
    </row>
    <row r="16" spans="1:10">
      <c r="A16" s="318"/>
      <c r="B16" s="416"/>
      <c r="C16" s="84"/>
      <c r="D16" s="25" t="s">
        <v>1040</v>
      </c>
      <c r="E16" s="114" t="s">
        <v>1041</v>
      </c>
      <c r="F16" s="84"/>
      <c r="G16" s="2"/>
      <c r="H16" s="2"/>
      <c r="I16" s="2"/>
    </row>
    <row r="17" spans="1:10" ht="27.95">
      <c r="A17" s="318"/>
      <c r="B17" s="416"/>
      <c r="C17" s="84"/>
      <c r="D17" s="25" t="s">
        <v>1042</v>
      </c>
      <c r="E17" s="114" t="s">
        <v>1043</v>
      </c>
      <c r="F17" s="84"/>
      <c r="G17" s="2"/>
      <c r="H17" s="2"/>
      <c r="I17" s="2"/>
    </row>
    <row r="18" spans="1:10">
      <c r="A18" s="318"/>
      <c r="B18" s="416"/>
      <c r="C18" s="84"/>
      <c r="D18" s="25" t="s">
        <v>1044</v>
      </c>
      <c r="E18" s="110" t="s">
        <v>1045</v>
      </c>
      <c r="F18" s="84"/>
      <c r="G18" s="2"/>
      <c r="H18" s="2"/>
      <c r="I18" s="2"/>
    </row>
    <row r="19" spans="1:10">
      <c r="A19" s="318"/>
      <c r="B19" s="416"/>
      <c r="C19" s="84"/>
      <c r="D19" s="25" t="s">
        <v>1046</v>
      </c>
      <c r="E19" s="114" t="s">
        <v>1047</v>
      </c>
      <c r="F19" s="84"/>
      <c r="G19" s="2"/>
      <c r="H19" s="2"/>
      <c r="I19" s="2"/>
    </row>
    <row r="20" spans="1:10">
      <c r="A20" s="318"/>
      <c r="B20" s="416"/>
      <c r="C20" s="84"/>
      <c r="D20" s="25" t="s">
        <v>1048</v>
      </c>
      <c r="E20" s="110" t="s">
        <v>1049</v>
      </c>
      <c r="F20" s="84"/>
      <c r="G20" s="2"/>
      <c r="H20" s="2"/>
      <c r="I20" s="2"/>
    </row>
    <row r="21" spans="1:10">
      <c r="A21" s="318"/>
      <c r="B21" s="416"/>
      <c r="C21" s="84"/>
      <c r="D21" s="25" t="s">
        <v>1050</v>
      </c>
      <c r="E21" s="110" t="s">
        <v>808</v>
      </c>
      <c r="F21" s="84"/>
      <c r="G21" s="2"/>
      <c r="H21" s="2"/>
      <c r="I21" s="2"/>
    </row>
    <row r="22" spans="1:10">
      <c r="A22" s="318"/>
      <c r="B22" s="416"/>
      <c r="C22" s="119"/>
      <c r="D22" s="120" t="s">
        <v>1051</v>
      </c>
      <c r="E22" s="121" t="s">
        <v>1052</v>
      </c>
      <c r="F22" s="119"/>
      <c r="G22" s="2"/>
      <c r="H22" s="2"/>
      <c r="I22" s="2"/>
    </row>
    <row r="23" spans="1:10" ht="14.45">
      <c r="A23" s="317" t="s">
        <v>122</v>
      </c>
      <c r="B23" s="317"/>
      <c r="C23" s="36"/>
      <c r="D23" s="118" t="s">
        <v>1053</v>
      </c>
      <c r="E23" s="124" t="s">
        <v>1054</v>
      </c>
      <c r="F23" s="122">
        <v>3</v>
      </c>
      <c r="G23" s="16"/>
      <c r="H23" s="2"/>
      <c r="I23" s="2"/>
      <c r="J23" s="104"/>
    </row>
    <row r="24" spans="1:10" ht="14.45">
      <c r="A24" s="317"/>
      <c r="B24" s="317"/>
      <c r="C24" s="37"/>
      <c r="D24" s="118" t="s">
        <v>1055</v>
      </c>
      <c r="E24" s="124" t="s">
        <v>1056</v>
      </c>
      <c r="F24" s="122">
        <v>5</v>
      </c>
      <c r="G24" s="43" t="s">
        <v>119</v>
      </c>
      <c r="I24" s="1"/>
    </row>
    <row r="25" spans="1:10" ht="14.45">
      <c r="A25" s="317"/>
      <c r="B25" s="317"/>
      <c r="C25" s="37"/>
      <c r="D25" s="118" t="s">
        <v>1057</v>
      </c>
      <c r="E25" s="125" t="s">
        <v>1058</v>
      </c>
      <c r="F25" s="122">
        <v>5</v>
      </c>
      <c r="G25" s="43" t="s">
        <v>119</v>
      </c>
      <c r="H25" s="1"/>
      <c r="I25" s="1"/>
    </row>
    <row r="26" spans="1:10" ht="14.45">
      <c r="A26" s="317"/>
      <c r="B26" s="317"/>
      <c r="C26" s="37"/>
      <c r="D26" s="118" t="s">
        <v>1059</v>
      </c>
      <c r="E26" s="124" t="s">
        <v>1060</v>
      </c>
      <c r="F26" s="122">
        <v>2</v>
      </c>
      <c r="G26" s="1" t="s">
        <v>118</v>
      </c>
      <c r="H26" s="1" t="s">
        <v>1061</v>
      </c>
      <c r="I26" s="1"/>
      <c r="J26" s="43"/>
    </row>
    <row r="27" spans="1:10" ht="14.45">
      <c r="A27" s="317"/>
      <c r="B27" s="317"/>
      <c r="C27" s="37"/>
      <c r="D27" s="118" t="s">
        <v>1062</v>
      </c>
      <c r="E27" s="125" t="s">
        <v>1063</v>
      </c>
      <c r="F27" s="122">
        <v>3</v>
      </c>
      <c r="G27" s="43" t="s">
        <v>119</v>
      </c>
      <c r="H27" s="1"/>
      <c r="I27" s="1"/>
      <c r="J27" s="43"/>
    </row>
    <row r="28" spans="1:10" ht="14.45">
      <c r="A28" s="317"/>
      <c r="B28" s="317"/>
      <c r="C28" s="37"/>
      <c r="D28" s="118" t="s">
        <v>1064</v>
      </c>
      <c r="E28" s="124" t="s">
        <v>1065</v>
      </c>
      <c r="F28" s="122">
        <v>2</v>
      </c>
      <c r="G28" s="1" t="s">
        <v>120</v>
      </c>
      <c r="H28" t="s">
        <v>1066</v>
      </c>
      <c r="I28" s="1">
        <v>3</v>
      </c>
      <c r="J28" s="43"/>
    </row>
    <row r="29" spans="1:10" ht="14.45">
      <c r="A29" s="317"/>
      <c r="B29" s="317"/>
      <c r="C29" s="37"/>
      <c r="D29" s="118" t="s">
        <v>1067</v>
      </c>
      <c r="E29" s="124" t="s">
        <v>1068</v>
      </c>
      <c r="F29" s="122">
        <v>2</v>
      </c>
      <c r="G29" s="1" t="s">
        <v>120</v>
      </c>
      <c r="H29" t="s">
        <v>1066</v>
      </c>
      <c r="I29" s="1">
        <v>2</v>
      </c>
      <c r="J29" s="43"/>
    </row>
    <row r="30" spans="1:10" ht="14.45">
      <c r="A30" s="317"/>
      <c r="B30" s="317"/>
      <c r="C30" s="37"/>
      <c r="D30" s="118" t="s">
        <v>1069</v>
      </c>
      <c r="E30" s="124" t="s">
        <v>1070</v>
      </c>
      <c r="F30" s="122">
        <v>3</v>
      </c>
      <c r="G30" s="43" t="s">
        <v>119</v>
      </c>
      <c r="H30" s="1" t="s">
        <v>1066</v>
      </c>
      <c r="I30" s="1"/>
      <c r="J30" s="43"/>
    </row>
    <row r="31" spans="1:10" ht="14.45">
      <c r="A31" s="317"/>
      <c r="B31" s="317"/>
      <c r="C31" s="41"/>
      <c r="D31" s="118" t="s">
        <v>1071</v>
      </c>
      <c r="E31" s="124" t="s">
        <v>1072</v>
      </c>
      <c r="F31" s="122">
        <v>3</v>
      </c>
      <c r="G31" s="43" t="s">
        <v>118</v>
      </c>
      <c r="H31" s="1" t="s">
        <v>1066</v>
      </c>
      <c r="I31" s="1"/>
      <c r="J31" s="43"/>
    </row>
    <row r="32" spans="1:10" ht="14.45">
      <c r="A32" s="317"/>
      <c r="B32" s="317"/>
      <c r="C32" s="41"/>
      <c r="D32" s="118" t="s">
        <v>1073</v>
      </c>
      <c r="E32" s="124" t="s">
        <v>1074</v>
      </c>
      <c r="F32" s="122">
        <v>2</v>
      </c>
      <c r="G32" s="1" t="s">
        <v>120</v>
      </c>
      <c r="H32" s="1" t="s">
        <v>1066</v>
      </c>
      <c r="I32" s="1">
        <v>8</v>
      </c>
      <c r="J32" s="43"/>
    </row>
    <row r="33" spans="1:11" ht="14.45">
      <c r="A33" s="317"/>
      <c r="B33" s="317"/>
      <c r="C33" s="41"/>
      <c r="D33" s="118" t="s">
        <v>1075</v>
      </c>
      <c r="E33" s="124" t="s">
        <v>1076</v>
      </c>
      <c r="F33" s="122">
        <v>2</v>
      </c>
      <c r="G33" s="1" t="s">
        <v>120</v>
      </c>
      <c r="H33" s="1" t="s">
        <v>1066</v>
      </c>
      <c r="I33" s="1">
        <v>9</v>
      </c>
      <c r="J33" s="30"/>
      <c r="K33" s="30"/>
    </row>
    <row r="34" spans="1:11" ht="14.45">
      <c r="A34" s="317"/>
      <c r="B34" s="317"/>
      <c r="C34" s="41"/>
      <c r="D34" s="118" t="s">
        <v>1077</v>
      </c>
      <c r="E34" s="124" t="s">
        <v>1078</v>
      </c>
      <c r="F34" s="122">
        <v>3</v>
      </c>
      <c r="G34" s="43" t="s">
        <v>118</v>
      </c>
      <c r="H34" s="1" t="s">
        <v>1066</v>
      </c>
      <c r="I34" s="1"/>
    </row>
    <row r="35" spans="1:11" ht="14.45">
      <c r="A35" s="317"/>
      <c r="B35" s="317"/>
      <c r="C35" s="37"/>
      <c r="D35" s="118" t="s">
        <v>1079</v>
      </c>
      <c r="E35" s="124" t="s">
        <v>1080</v>
      </c>
      <c r="F35" s="122">
        <v>3</v>
      </c>
      <c r="G35" s="1" t="s">
        <v>120</v>
      </c>
      <c r="H35" s="1" t="s">
        <v>1066</v>
      </c>
      <c r="I35" s="1">
        <v>6</v>
      </c>
    </row>
    <row r="36" spans="1:11" ht="14.45">
      <c r="A36" s="317"/>
      <c r="B36" s="317"/>
      <c r="C36" s="37"/>
      <c r="D36" s="118" t="s">
        <v>1081</v>
      </c>
      <c r="E36" s="124" t="s">
        <v>1082</v>
      </c>
      <c r="F36" s="122">
        <v>5</v>
      </c>
      <c r="G36" s="43" t="s">
        <v>284</v>
      </c>
      <c r="H36" s="1"/>
      <c r="I36" s="1"/>
    </row>
    <row r="37" spans="1:11">
      <c r="A37" s="317"/>
      <c r="B37" s="317"/>
      <c r="C37" s="37"/>
      <c r="D37" s="118" t="s">
        <v>809</v>
      </c>
      <c r="E37" s="124" t="s">
        <v>810</v>
      </c>
      <c r="F37" s="123"/>
      <c r="G37" s="43" t="s">
        <v>284</v>
      </c>
      <c r="H37" s="1"/>
      <c r="I37" s="1"/>
    </row>
    <row r="38" spans="1:11">
      <c r="A38" s="317"/>
      <c r="B38" s="317"/>
      <c r="C38" s="37"/>
      <c r="H38" s="1"/>
      <c r="I38" s="1"/>
    </row>
    <row r="39" spans="1:11" ht="14.45">
      <c r="A39" s="317"/>
      <c r="B39" s="317"/>
      <c r="C39" s="37"/>
      <c r="D39" s="118" t="s">
        <v>1083</v>
      </c>
      <c r="E39" s="124" t="s">
        <v>1084</v>
      </c>
      <c r="F39" s="122"/>
      <c r="G39" s="127"/>
      <c r="H39" s="1"/>
      <c r="I39" s="1"/>
    </row>
    <row r="40" spans="1:11" ht="14.45" customHeight="1">
      <c r="A40" s="318" t="s">
        <v>156</v>
      </c>
      <c r="B40" s="116"/>
      <c r="C40" s="124" t="s">
        <v>32</v>
      </c>
      <c r="D40" s="126" t="s">
        <v>1085</v>
      </c>
      <c r="E40" s="124" t="s">
        <v>1086</v>
      </c>
      <c r="F40" s="9"/>
      <c r="G40" s="128" t="s">
        <v>119</v>
      </c>
      <c r="H40" s="1"/>
      <c r="I40" s="1"/>
    </row>
    <row r="41" spans="1:11" ht="14.45" customHeight="1">
      <c r="A41" s="355"/>
      <c r="B41" s="116"/>
      <c r="C41" s="124" t="s">
        <v>32</v>
      </c>
      <c r="D41" s="126" t="s">
        <v>1087</v>
      </c>
      <c r="E41" s="124" t="s">
        <v>1088</v>
      </c>
      <c r="F41" s="2"/>
      <c r="G41" s="128" t="s">
        <v>119</v>
      </c>
      <c r="H41" s="1"/>
      <c r="I41" s="1"/>
    </row>
    <row r="42" spans="1:11" ht="14.45" customHeight="1">
      <c r="A42" s="355"/>
      <c r="B42" s="116"/>
      <c r="C42" s="124" t="s">
        <v>7</v>
      </c>
      <c r="D42" s="126" t="s">
        <v>1089</v>
      </c>
      <c r="E42" s="124" t="s">
        <v>1090</v>
      </c>
      <c r="F42" s="2"/>
      <c r="G42" s="128"/>
      <c r="H42" s="1"/>
      <c r="I42" s="1"/>
    </row>
    <row r="43" spans="1:11" ht="14.45" customHeight="1">
      <c r="A43" s="355"/>
      <c r="B43" s="116"/>
      <c r="C43" s="124" t="s">
        <v>32</v>
      </c>
      <c r="D43" s="126" t="s">
        <v>1091</v>
      </c>
      <c r="E43" s="124" t="s">
        <v>1092</v>
      </c>
      <c r="F43" s="2">
        <v>3</v>
      </c>
      <c r="G43" t="s">
        <v>120</v>
      </c>
      <c r="H43" s="1" t="s">
        <v>1093</v>
      </c>
      <c r="I43" s="1">
        <v>5</v>
      </c>
    </row>
    <row r="44" spans="1:11" ht="14.45" customHeight="1">
      <c r="A44" s="355"/>
      <c r="B44" s="116"/>
      <c r="C44" s="124" t="s">
        <v>32</v>
      </c>
      <c r="D44" s="126" t="s">
        <v>1094</v>
      </c>
      <c r="E44" s="131" t="s">
        <v>1095</v>
      </c>
      <c r="F44" s="130"/>
      <c r="G44" s="132" t="s">
        <v>120</v>
      </c>
      <c r="H44" s="129" t="s">
        <v>1093</v>
      </c>
      <c r="I44" s="1">
        <v>11</v>
      </c>
    </row>
    <row r="45" spans="1:11" ht="14.45" customHeight="1">
      <c r="A45" s="355"/>
      <c r="B45" s="116"/>
      <c r="C45" s="124" t="s">
        <v>32</v>
      </c>
      <c r="D45" s="126" t="s">
        <v>1096</v>
      </c>
      <c r="E45" s="124" t="s">
        <v>1097</v>
      </c>
      <c r="F45" s="2"/>
      <c r="G45" s="128" t="s">
        <v>119</v>
      </c>
      <c r="H45" s="1"/>
      <c r="I45" s="1"/>
    </row>
    <row r="46" spans="1:11" ht="14.45" customHeight="1">
      <c r="A46" s="355"/>
      <c r="B46" s="116"/>
      <c r="C46" s="124" t="s">
        <v>32</v>
      </c>
      <c r="D46" s="126" t="s">
        <v>1098</v>
      </c>
      <c r="E46" s="124" t="s">
        <v>1099</v>
      </c>
      <c r="F46" s="84"/>
      <c r="G46" s="128" t="s">
        <v>119</v>
      </c>
      <c r="H46" s="1"/>
      <c r="I46" s="1"/>
    </row>
    <row r="47" spans="1:11" ht="14.45" customHeight="1">
      <c r="A47" s="355"/>
      <c r="B47" s="116"/>
      <c r="C47" s="124" t="s">
        <v>32</v>
      </c>
      <c r="D47" s="126" t="s">
        <v>1100</v>
      </c>
      <c r="E47" s="124" t="s">
        <v>1101</v>
      </c>
      <c r="F47" s="2"/>
      <c r="G47" s="128" t="s">
        <v>120</v>
      </c>
      <c r="H47" s="1"/>
      <c r="I47" s="1">
        <v>14</v>
      </c>
    </row>
    <row r="48" spans="1:11" ht="14.45" customHeight="1">
      <c r="A48" s="355"/>
      <c r="B48" s="116"/>
      <c r="C48" s="124" t="s">
        <v>32</v>
      </c>
      <c r="D48" s="126" t="s">
        <v>1102</v>
      </c>
      <c r="E48" s="124" t="s">
        <v>1103</v>
      </c>
      <c r="F48" s="2"/>
      <c r="G48" s="128" t="s">
        <v>120</v>
      </c>
      <c r="H48" s="1"/>
      <c r="I48" s="1">
        <v>10</v>
      </c>
    </row>
    <row r="49" spans="1:10" ht="14.45" customHeight="1">
      <c r="A49" s="355"/>
      <c r="B49" s="116"/>
      <c r="C49" s="124" t="s">
        <v>32</v>
      </c>
      <c r="D49" s="126" t="s">
        <v>1104</v>
      </c>
      <c r="E49" s="131" t="s">
        <v>1105</v>
      </c>
      <c r="F49" s="133"/>
      <c r="G49" s="132" t="s">
        <v>118</v>
      </c>
      <c r="H49" s="1"/>
      <c r="I49" s="1"/>
    </row>
    <row r="50" spans="1:10" ht="14.45" customHeight="1">
      <c r="A50" s="355"/>
      <c r="B50" s="116"/>
      <c r="C50" s="124" t="s">
        <v>32</v>
      </c>
      <c r="D50" s="126" t="s">
        <v>1106</v>
      </c>
      <c r="E50" s="124" t="s">
        <v>1107</v>
      </c>
      <c r="F50" s="84"/>
      <c r="G50" s="128" t="s">
        <v>118</v>
      </c>
      <c r="H50" s="1"/>
      <c r="I50" s="1"/>
    </row>
    <row r="51" spans="1:10" ht="14.45" customHeight="1">
      <c r="A51" s="355"/>
      <c r="B51" s="116"/>
      <c r="C51" s="124" t="s">
        <v>32</v>
      </c>
      <c r="D51" s="126" t="s">
        <v>1108</v>
      </c>
      <c r="E51" s="124" t="s">
        <v>1109</v>
      </c>
      <c r="F51" s="84"/>
      <c r="G51" s="128" t="s">
        <v>118</v>
      </c>
      <c r="H51" s="1"/>
      <c r="I51" s="1"/>
    </row>
    <row r="52" spans="1:10" ht="14.45" customHeight="1">
      <c r="A52" s="355"/>
      <c r="B52" s="116"/>
      <c r="C52" s="84"/>
      <c r="D52" s="118" t="s">
        <v>1110</v>
      </c>
      <c r="E52" s="124" t="s">
        <v>1111</v>
      </c>
      <c r="F52" s="123"/>
      <c r="G52" s="127" t="s">
        <v>119</v>
      </c>
      <c r="H52" s="1"/>
      <c r="I52" s="1"/>
    </row>
    <row r="53" spans="1:10" ht="14.45" customHeight="1">
      <c r="A53" s="355"/>
      <c r="B53" s="116"/>
      <c r="C53" s="84"/>
      <c r="H53" s="1"/>
      <c r="I53" s="1"/>
    </row>
    <row r="54" spans="1:10" ht="14.45" customHeight="1">
      <c r="A54" s="343"/>
      <c r="B54" s="117"/>
      <c r="C54" s="84"/>
      <c r="D54" s="84"/>
      <c r="E54" s="84"/>
      <c r="F54" s="84"/>
      <c r="G54" s="128"/>
      <c r="H54" s="1"/>
      <c r="I54" s="1"/>
    </row>
    <row r="55" spans="1:10">
      <c r="A55" s="344" t="s">
        <v>256</v>
      </c>
      <c r="B55" s="418"/>
      <c r="C55" s="124" t="s">
        <v>7</v>
      </c>
      <c r="D55" s="126" t="s">
        <v>1112</v>
      </c>
      <c r="E55" s="124" t="s">
        <v>1113</v>
      </c>
      <c r="F55" s="2"/>
      <c r="G55" s="1" t="s">
        <v>120</v>
      </c>
      <c r="H55" s="1"/>
      <c r="I55" s="1">
        <v>1</v>
      </c>
    </row>
    <row r="56" spans="1:10">
      <c r="A56" s="344"/>
      <c r="B56" s="416"/>
      <c r="C56" s="124" t="s">
        <v>7</v>
      </c>
      <c r="D56" s="126" t="s">
        <v>1114</v>
      </c>
      <c r="E56" s="124" t="s">
        <v>1115</v>
      </c>
      <c r="F56" s="2"/>
      <c r="G56" s="1" t="s">
        <v>119</v>
      </c>
      <c r="H56" s="1"/>
      <c r="I56" s="1"/>
      <c r="J56" s="1" t="s">
        <v>528</v>
      </c>
    </row>
    <row r="57" spans="1:10">
      <c r="A57" s="344"/>
      <c r="B57" s="416"/>
      <c r="C57" s="124" t="s">
        <v>243</v>
      </c>
      <c r="D57" s="126" t="s">
        <v>1116</v>
      </c>
      <c r="E57" s="131" t="s">
        <v>1117</v>
      </c>
      <c r="F57" s="2"/>
      <c r="G57" s="1" t="s">
        <v>118</v>
      </c>
      <c r="H57" s="1"/>
      <c r="I57" s="1"/>
    </row>
    <row r="58" spans="1:10">
      <c r="A58" s="344"/>
      <c r="B58" s="416"/>
      <c r="C58" s="124" t="s">
        <v>32</v>
      </c>
      <c r="D58" s="126" t="s">
        <v>1118</v>
      </c>
      <c r="E58" s="131" t="s">
        <v>1119</v>
      </c>
      <c r="F58" s="2"/>
      <c r="G58" s="1" t="s">
        <v>118</v>
      </c>
      <c r="H58" s="1"/>
      <c r="I58" s="1"/>
    </row>
    <row r="59" spans="1:10">
      <c r="A59" s="344"/>
      <c r="B59" s="416"/>
      <c r="C59" s="124" t="s">
        <v>32</v>
      </c>
      <c r="D59" s="126" t="s">
        <v>1120</v>
      </c>
      <c r="E59" s="131" t="s">
        <v>1121</v>
      </c>
      <c r="F59" s="2"/>
      <c r="G59" s="1" t="s">
        <v>118</v>
      </c>
      <c r="H59" s="1"/>
      <c r="I59" s="1"/>
    </row>
    <row r="60" spans="1:10" ht="27.95">
      <c r="A60" s="344"/>
      <c r="B60" s="416"/>
      <c r="C60" s="124" t="s">
        <v>32</v>
      </c>
      <c r="D60" s="126" t="s">
        <v>1122</v>
      </c>
      <c r="E60" s="124" t="s">
        <v>1123</v>
      </c>
      <c r="F60" s="2"/>
      <c r="G60" s="1" t="s">
        <v>118</v>
      </c>
      <c r="H60" s="1"/>
      <c r="I60" s="1"/>
    </row>
    <row r="61" spans="1:10" ht="27.95">
      <c r="A61" s="344"/>
      <c r="B61" s="416"/>
      <c r="C61" s="124" t="s">
        <v>32</v>
      </c>
      <c r="D61" s="126" t="s">
        <v>1124</v>
      </c>
      <c r="E61" s="124" t="s">
        <v>1125</v>
      </c>
      <c r="F61" s="2"/>
      <c r="G61" s="1" t="s">
        <v>119</v>
      </c>
      <c r="H61" s="1"/>
      <c r="I61" s="1"/>
    </row>
    <row r="62" spans="1:10" ht="27.95">
      <c r="A62" s="344"/>
      <c r="B62" s="416"/>
      <c r="C62" s="124" t="s">
        <v>32</v>
      </c>
      <c r="D62" s="126" t="s">
        <v>1126</v>
      </c>
      <c r="E62" s="124" t="s">
        <v>1127</v>
      </c>
      <c r="F62" s="2"/>
      <c r="G62" s="1" t="s">
        <v>118</v>
      </c>
      <c r="H62" s="1" t="s">
        <v>1128</v>
      </c>
      <c r="I62" s="1"/>
    </row>
    <row r="63" spans="1:10" ht="27.95">
      <c r="A63" s="344"/>
      <c r="B63" s="416"/>
      <c r="C63" s="124" t="s">
        <v>32</v>
      </c>
      <c r="D63" s="126" t="s">
        <v>1129</v>
      </c>
      <c r="E63" s="124" t="s">
        <v>1130</v>
      </c>
      <c r="F63" s="2"/>
      <c r="G63" s="1" t="s">
        <v>120</v>
      </c>
      <c r="H63" s="1" t="s">
        <v>1131</v>
      </c>
      <c r="I63" s="1"/>
    </row>
    <row r="64" spans="1:10" ht="42">
      <c r="A64" s="344"/>
      <c r="B64" s="416"/>
      <c r="C64" s="124" t="s">
        <v>32</v>
      </c>
      <c r="D64" s="139" t="s">
        <v>791</v>
      </c>
      <c r="E64" s="138" t="s">
        <v>1132</v>
      </c>
      <c r="F64" s="2"/>
      <c r="G64" s="1"/>
      <c r="H64" s="1"/>
      <c r="I64" s="1"/>
    </row>
    <row r="65" spans="1:10" s="140" customFormat="1" ht="42">
      <c r="A65" s="344"/>
      <c r="B65" s="416"/>
      <c r="C65" s="138" t="s">
        <v>32</v>
      </c>
      <c r="D65" s="139" t="s">
        <v>1133</v>
      </c>
      <c r="E65" s="138" t="s">
        <v>1134</v>
      </c>
      <c r="F65" s="80"/>
      <c r="G65" s="81"/>
      <c r="H65" s="81"/>
      <c r="I65" s="81"/>
    </row>
    <row r="66" spans="1:10">
      <c r="A66" s="344"/>
      <c r="B66" s="416"/>
      <c r="C66" s="124" t="s">
        <v>32</v>
      </c>
      <c r="D66" s="126" t="s">
        <v>1135</v>
      </c>
      <c r="E66" s="124" t="s">
        <v>1136</v>
      </c>
      <c r="F66" s="2"/>
      <c r="G66" s="1" t="s">
        <v>120</v>
      </c>
      <c r="H66" s="1"/>
      <c r="I66" s="1">
        <v>9</v>
      </c>
    </row>
    <row r="67" spans="1:10">
      <c r="A67" s="344"/>
      <c r="B67" s="416"/>
      <c r="C67" s="124" t="s">
        <v>32</v>
      </c>
      <c r="D67" s="126" t="s">
        <v>1137</v>
      </c>
      <c r="E67" s="124" t="s">
        <v>1138</v>
      </c>
      <c r="F67" s="2"/>
      <c r="G67" s="1" t="s">
        <v>923</v>
      </c>
      <c r="H67" s="1"/>
      <c r="I67" s="1"/>
    </row>
    <row r="68" spans="1:10">
      <c r="A68" s="344"/>
      <c r="B68" s="416"/>
      <c r="C68" s="124" t="s">
        <v>32</v>
      </c>
      <c r="D68" s="126" t="s">
        <v>1139</v>
      </c>
      <c r="E68" s="124" t="s">
        <v>1140</v>
      </c>
      <c r="F68" s="2"/>
      <c r="G68" s="1" t="s">
        <v>923</v>
      </c>
      <c r="H68" s="1"/>
      <c r="I68" s="1"/>
    </row>
    <row r="69" spans="1:10">
      <c r="A69" s="344"/>
      <c r="B69" s="416"/>
      <c r="C69" s="124" t="s">
        <v>32</v>
      </c>
      <c r="D69" s="126" t="s">
        <v>1141</v>
      </c>
      <c r="E69" s="124" t="s">
        <v>141</v>
      </c>
      <c r="F69" s="2"/>
      <c r="G69" s="1" t="s">
        <v>923</v>
      </c>
      <c r="H69" s="1"/>
      <c r="I69" s="1"/>
    </row>
    <row r="70" spans="1:10">
      <c r="A70" s="344"/>
      <c r="B70" s="416"/>
      <c r="C70" s="124" t="s">
        <v>32</v>
      </c>
      <c r="D70" s="126" t="s">
        <v>1142</v>
      </c>
      <c r="E70" s="124" t="s">
        <v>1143</v>
      </c>
      <c r="F70" s="2"/>
      <c r="G70" s="1" t="s">
        <v>923</v>
      </c>
      <c r="H70" s="1"/>
      <c r="I70" s="1"/>
    </row>
    <row r="71" spans="1:10">
      <c r="A71" s="344"/>
      <c r="B71" s="416"/>
      <c r="C71" s="124" t="s">
        <v>32</v>
      </c>
      <c r="D71" s="126" t="s">
        <v>1144</v>
      </c>
      <c r="E71" s="124" t="s">
        <v>1145</v>
      </c>
      <c r="F71" s="2"/>
      <c r="G71" s="1" t="s">
        <v>120</v>
      </c>
      <c r="H71" s="1"/>
      <c r="I71" s="1"/>
    </row>
    <row r="72" spans="1:10">
      <c r="A72" s="344"/>
      <c r="B72" s="416"/>
      <c r="C72" s="124" t="s">
        <v>32</v>
      </c>
      <c r="D72" s="126" t="s">
        <v>1146</v>
      </c>
      <c r="E72" s="124" t="s">
        <v>1147</v>
      </c>
      <c r="F72" s="2"/>
      <c r="G72" s="1" t="s">
        <v>119</v>
      </c>
      <c r="H72" s="1"/>
      <c r="I72" s="1"/>
    </row>
    <row r="73" spans="1:10" s="140" customFormat="1">
      <c r="A73" s="344"/>
      <c r="B73" s="416"/>
      <c r="C73" s="138" t="s">
        <v>32</v>
      </c>
      <c r="D73" s="139" t="s">
        <v>855</v>
      </c>
      <c r="E73" s="138" t="s">
        <v>856</v>
      </c>
      <c r="F73" s="143"/>
      <c r="G73" s="81" t="s">
        <v>284</v>
      </c>
      <c r="H73" s="81"/>
      <c r="I73" s="81"/>
      <c r="J73" s="144"/>
    </row>
    <row r="74" spans="1:10">
      <c r="A74" s="344"/>
      <c r="B74" s="416"/>
      <c r="C74" s="84"/>
      <c r="D74" s="115" t="s">
        <v>1148</v>
      </c>
      <c r="E74" s="134" t="s">
        <v>1149</v>
      </c>
      <c r="F74" s="134"/>
      <c r="G74" s="135" t="s">
        <v>118</v>
      </c>
      <c r="H74" s="1"/>
      <c r="I74" s="1"/>
    </row>
    <row r="75" spans="1:10">
      <c r="A75" s="340"/>
      <c r="B75" s="416"/>
      <c r="C75" s="84" t="s">
        <v>7</v>
      </c>
      <c r="D75" s="115" t="s">
        <v>1150</v>
      </c>
      <c r="E75" s="136" t="s">
        <v>1151</v>
      </c>
      <c r="F75" s="136"/>
      <c r="G75" s="137" t="s">
        <v>120</v>
      </c>
      <c r="H75" s="1"/>
      <c r="I75" s="1"/>
    </row>
    <row r="76" spans="1:10" ht="27.95">
      <c r="A76" s="340"/>
      <c r="B76" s="416"/>
      <c r="C76" s="84" t="s">
        <v>7</v>
      </c>
      <c r="D76" s="115" t="s">
        <v>1152</v>
      </c>
      <c r="E76" s="136" t="s">
        <v>1153</v>
      </c>
      <c r="F76" s="136"/>
      <c r="G76" s="137" t="s">
        <v>994</v>
      </c>
      <c r="H76" s="1" t="s">
        <v>1154</v>
      </c>
      <c r="I76" s="1"/>
    </row>
    <row r="77" spans="1:10">
      <c r="A77" s="340"/>
      <c r="B77" s="416"/>
      <c r="C77" s="84" t="s">
        <v>7</v>
      </c>
      <c r="D77" s="115" t="s">
        <v>1155</v>
      </c>
      <c r="E77" s="84" t="s">
        <v>1156</v>
      </c>
      <c r="F77" s="136"/>
      <c r="G77" s="137" t="s">
        <v>120</v>
      </c>
      <c r="H77" s="1" t="s">
        <v>1157</v>
      </c>
      <c r="I77" s="1"/>
    </row>
    <row r="78" spans="1:10">
      <c r="A78" s="340"/>
      <c r="B78" s="416"/>
      <c r="C78" s="84" t="s">
        <v>7</v>
      </c>
      <c r="D78" s="115" t="s">
        <v>1114</v>
      </c>
      <c r="E78" s="136" t="s">
        <v>1158</v>
      </c>
      <c r="F78" s="136"/>
      <c r="G78" s="137" t="s">
        <v>994</v>
      </c>
      <c r="H78" s="1"/>
      <c r="I78" s="1"/>
    </row>
    <row r="79" spans="1:10">
      <c r="A79" s="342" t="s">
        <v>1159</v>
      </c>
      <c r="B79" s="409"/>
      <c r="C79" s="124" t="s">
        <v>7</v>
      </c>
      <c r="D79" s="126" t="s">
        <v>1160</v>
      </c>
      <c r="E79" s="124" t="s">
        <v>1161</v>
      </c>
      <c r="F79" s="84"/>
      <c r="G79" s="1" t="s">
        <v>923</v>
      </c>
      <c r="H79" s="1"/>
      <c r="I79" s="1"/>
    </row>
    <row r="80" spans="1:10" ht="27.95">
      <c r="A80" s="342"/>
      <c r="B80" s="410"/>
      <c r="C80" s="124" t="s">
        <v>7</v>
      </c>
      <c r="D80" s="126" t="s">
        <v>1162</v>
      </c>
      <c r="E80" s="124" t="s">
        <v>1163</v>
      </c>
      <c r="F80" s="2"/>
      <c r="G80" s="1" t="s">
        <v>120</v>
      </c>
      <c r="H80" s="1"/>
      <c r="I80" s="1">
        <v>8</v>
      </c>
    </row>
    <row r="81" spans="1:9" ht="27.95">
      <c r="A81" s="342"/>
      <c r="B81" s="410"/>
      <c r="C81" s="124" t="s">
        <v>32</v>
      </c>
      <c r="D81" s="126" t="s">
        <v>1164</v>
      </c>
      <c r="E81" s="124" t="s">
        <v>1165</v>
      </c>
      <c r="F81" s="2"/>
      <c r="G81" s="1" t="s">
        <v>120</v>
      </c>
      <c r="H81" s="1"/>
      <c r="I81" s="1"/>
    </row>
    <row r="82" spans="1:9">
      <c r="A82" s="342"/>
      <c r="B82" s="410"/>
      <c r="C82" s="124" t="s">
        <v>7</v>
      </c>
      <c r="D82" s="126" t="s">
        <v>1166</v>
      </c>
      <c r="E82" s="124" t="s">
        <v>1167</v>
      </c>
      <c r="F82" s="2"/>
      <c r="G82" s="1" t="s">
        <v>120</v>
      </c>
      <c r="H82" s="1" t="s">
        <v>1168</v>
      </c>
      <c r="I82" s="1" t="s">
        <v>1169</v>
      </c>
    </row>
    <row r="83" spans="1:9">
      <c r="A83" s="342"/>
      <c r="B83" s="410"/>
      <c r="C83" s="124" t="s">
        <v>7</v>
      </c>
      <c r="D83" s="126" t="s">
        <v>1170</v>
      </c>
      <c r="E83" s="124" t="s">
        <v>1171</v>
      </c>
      <c r="F83" s="2"/>
      <c r="G83" s="1" t="s">
        <v>120</v>
      </c>
      <c r="H83" s="1" t="s">
        <v>1172</v>
      </c>
      <c r="I83" s="1"/>
    </row>
    <row r="84" spans="1:9">
      <c r="A84" s="342"/>
      <c r="B84" s="410"/>
      <c r="C84" s="124" t="s">
        <v>32</v>
      </c>
      <c r="D84" s="126" t="s">
        <v>855</v>
      </c>
      <c r="E84" s="124" t="s">
        <v>856</v>
      </c>
      <c r="F84" s="2"/>
      <c r="G84" s="1" t="s">
        <v>284</v>
      </c>
      <c r="H84" s="1"/>
      <c r="I84" s="1"/>
    </row>
    <row r="85" spans="1:9">
      <c r="A85" s="342"/>
      <c r="B85" s="410"/>
      <c r="C85" s="124" t="s">
        <v>32</v>
      </c>
      <c r="D85" s="126" t="s">
        <v>1173</v>
      </c>
      <c r="E85" s="124" t="s">
        <v>1174</v>
      </c>
      <c r="F85" s="2"/>
      <c r="G85" s="1" t="s">
        <v>994</v>
      </c>
      <c r="H85" s="1" t="s">
        <v>1175</v>
      </c>
      <c r="I85" s="1"/>
    </row>
    <row r="86" spans="1:9">
      <c r="A86" s="342"/>
      <c r="B86" s="410"/>
      <c r="C86" s="124" t="s">
        <v>32</v>
      </c>
      <c r="D86" s="126" t="s">
        <v>1176</v>
      </c>
      <c r="E86" s="124" t="s">
        <v>1177</v>
      </c>
      <c r="F86" s="2"/>
      <c r="G86" s="1" t="s">
        <v>994</v>
      </c>
      <c r="H86" s="1" t="s">
        <v>1178</v>
      </c>
      <c r="I86" s="1"/>
    </row>
    <row r="87" spans="1:9">
      <c r="A87" s="342"/>
      <c r="B87" s="410"/>
      <c r="C87" s="124" t="s">
        <v>32</v>
      </c>
      <c r="D87" s="126" t="s">
        <v>1179</v>
      </c>
      <c r="E87" s="124" t="s">
        <v>1180</v>
      </c>
      <c r="F87" s="2"/>
      <c r="G87" s="1" t="s">
        <v>994</v>
      </c>
      <c r="H87" s="1" t="s">
        <v>1181</v>
      </c>
      <c r="I87" s="1"/>
    </row>
    <row r="88" spans="1:9">
      <c r="A88" s="342"/>
      <c r="B88" s="410"/>
      <c r="C88" s="124" t="s">
        <v>32</v>
      </c>
      <c r="D88" s="126" t="s">
        <v>1182</v>
      </c>
      <c r="E88" s="124" t="s">
        <v>1183</v>
      </c>
      <c r="F88" s="2"/>
      <c r="G88" s="1" t="s">
        <v>994</v>
      </c>
      <c r="H88" s="1" t="s">
        <v>1184</v>
      </c>
      <c r="I88" s="1"/>
    </row>
    <row r="89" spans="1:9">
      <c r="A89" s="342"/>
      <c r="B89" s="410"/>
      <c r="C89" s="124" t="s">
        <v>32</v>
      </c>
      <c r="D89" s="126" t="s">
        <v>228</v>
      </c>
      <c r="E89" s="124" t="s">
        <v>230</v>
      </c>
      <c r="F89" s="2"/>
      <c r="G89" s="1" t="s">
        <v>994</v>
      </c>
      <c r="H89" s="1" t="s">
        <v>1185</v>
      </c>
      <c r="I89" s="1"/>
    </row>
    <row r="90" spans="1:9" ht="27.95">
      <c r="A90" s="342"/>
      <c r="B90" s="410"/>
      <c r="C90" s="124" t="s">
        <v>32</v>
      </c>
      <c r="D90" s="126" t="s">
        <v>1186</v>
      </c>
      <c r="E90" s="124" t="s">
        <v>1187</v>
      </c>
      <c r="F90" s="2"/>
      <c r="G90" s="1" t="s">
        <v>994</v>
      </c>
      <c r="H90" s="1" t="s">
        <v>1188</v>
      </c>
      <c r="I90" s="1"/>
    </row>
    <row r="91" spans="1:9">
      <c r="A91" s="342"/>
      <c r="B91" s="410"/>
      <c r="C91" s="124" t="s">
        <v>7</v>
      </c>
      <c r="D91" s="126" t="s">
        <v>1189</v>
      </c>
      <c r="E91" s="124" t="s">
        <v>1190</v>
      </c>
      <c r="F91" s="84"/>
      <c r="G91" s="1" t="s">
        <v>120</v>
      </c>
      <c r="H91" s="1" t="s">
        <v>1191</v>
      </c>
      <c r="I91" s="1"/>
    </row>
    <row r="92" spans="1:9">
      <c r="A92" s="342"/>
      <c r="B92" s="410"/>
      <c r="C92" s="124" t="s">
        <v>7</v>
      </c>
      <c r="D92" s="126" t="s">
        <v>1192</v>
      </c>
      <c r="E92" s="124" t="s">
        <v>1193</v>
      </c>
      <c r="F92" s="84"/>
      <c r="G92" s="1" t="s">
        <v>120</v>
      </c>
      <c r="H92" s="1" t="s">
        <v>1168</v>
      </c>
      <c r="I92" s="1"/>
    </row>
    <row r="93" spans="1:9">
      <c r="A93" s="342"/>
      <c r="B93" s="410"/>
      <c r="C93" s="124" t="s">
        <v>7</v>
      </c>
      <c r="D93" s="126" t="s">
        <v>1194</v>
      </c>
      <c r="E93" s="124" t="s">
        <v>1195</v>
      </c>
      <c r="F93" s="84"/>
      <c r="G93" s="1"/>
      <c r="H93" s="1" t="s">
        <v>1172</v>
      </c>
      <c r="I93" s="1"/>
    </row>
    <row r="94" spans="1:9">
      <c r="A94" s="342"/>
      <c r="B94" s="410"/>
      <c r="C94" s="141"/>
      <c r="D94" s="142"/>
      <c r="E94" s="141"/>
      <c r="F94" s="84"/>
      <c r="G94" s="1"/>
      <c r="H94" s="1"/>
      <c r="I94" s="1"/>
    </row>
    <row r="95" spans="1:9" ht="29.1" customHeight="1">
      <c r="A95" s="342"/>
      <c r="B95" s="411"/>
      <c r="C95" s="84" t="s">
        <v>243</v>
      </c>
      <c r="D95" s="2" t="s">
        <v>1196</v>
      </c>
      <c r="E95" s="84" t="s">
        <v>1197</v>
      </c>
      <c r="F95" s="84"/>
      <c r="G95" s="1" t="s">
        <v>118</v>
      </c>
      <c r="H95" s="1"/>
      <c r="I95" s="1"/>
    </row>
    <row r="96" spans="1:9">
      <c r="A96" s="412" t="s">
        <v>300</v>
      </c>
      <c r="B96" s="415"/>
      <c r="C96" s="84"/>
      <c r="D96" s="2"/>
      <c r="E96" s="84"/>
      <c r="F96" s="84"/>
      <c r="G96" s="1"/>
      <c r="H96" s="1"/>
      <c r="I96" s="1"/>
    </row>
    <row r="97" spans="1:9">
      <c r="A97" s="413"/>
      <c r="B97" s="416"/>
      <c r="C97" s="84"/>
      <c r="D97" s="2"/>
      <c r="E97" s="84"/>
      <c r="F97" s="84"/>
      <c r="G97" s="1"/>
      <c r="H97" s="1"/>
      <c r="I97" s="1"/>
    </row>
    <row r="98" spans="1:9">
      <c r="A98" s="413"/>
      <c r="B98" s="416"/>
      <c r="C98" s="108"/>
      <c r="D98" s="84"/>
      <c r="E98" s="2"/>
      <c r="F98" s="2"/>
      <c r="G98" s="1"/>
      <c r="H98" s="1"/>
      <c r="I98" s="1"/>
    </row>
    <row r="99" spans="1:9">
      <c r="A99" s="413"/>
      <c r="B99" s="416"/>
      <c r="C99" s="108"/>
      <c r="D99" s="84"/>
      <c r="E99" s="2"/>
      <c r="F99" s="2"/>
      <c r="G99" s="1"/>
      <c r="H99" s="1"/>
      <c r="I99" s="1"/>
    </row>
    <row r="100" spans="1:9">
      <c r="A100" s="413"/>
      <c r="B100" s="416"/>
      <c r="C100" s="108"/>
      <c r="D100" s="84"/>
      <c r="E100" s="2"/>
      <c r="F100" s="2"/>
      <c r="G100" s="1"/>
      <c r="H100" s="1"/>
      <c r="I100" s="1"/>
    </row>
    <row r="101" spans="1:9">
      <c r="A101" s="413"/>
      <c r="B101" s="416"/>
      <c r="C101" s="84"/>
      <c r="D101" s="2"/>
      <c r="E101" s="84"/>
      <c r="F101" s="84"/>
      <c r="G101" s="1"/>
      <c r="H101" s="1"/>
      <c r="I101" s="1"/>
    </row>
    <row r="102" spans="1:9">
      <c r="A102" s="413"/>
      <c r="B102" s="416"/>
      <c r="C102" s="84"/>
      <c r="D102" s="2"/>
      <c r="E102" s="84"/>
      <c r="F102" s="84"/>
      <c r="G102" s="1"/>
      <c r="H102" s="1"/>
      <c r="I102" s="1"/>
    </row>
    <row r="103" spans="1:9">
      <c r="A103" s="413"/>
      <c r="B103" s="416"/>
      <c r="C103" s="108"/>
      <c r="D103" s="2"/>
      <c r="E103" s="2"/>
      <c r="F103" s="2"/>
      <c r="G103" s="1"/>
      <c r="H103" s="1"/>
      <c r="I103" s="1"/>
    </row>
    <row r="104" spans="1:9">
      <c r="A104" s="413"/>
      <c r="B104" s="416"/>
      <c r="C104" s="108"/>
      <c r="D104" s="2"/>
      <c r="E104" s="2"/>
      <c r="F104" s="2"/>
      <c r="G104" s="1"/>
      <c r="H104" s="1"/>
      <c r="I104" s="1"/>
    </row>
    <row r="105" spans="1:9">
      <c r="A105" s="413"/>
      <c r="B105" s="416"/>
      <c r="C105" s="108"/>
      <c r="D105" s="2"/>
      <c r="E105" s="2"/>
      <c r="F105" s="2"/>
      <c r="G105" s="1"/>
      <c r="H105" s="1"/>
      <c r="I105" s="1"/>
    </row>
    <row r="106" spans="1:9">
      <c r="A106" s="413"/>
      <c r="B106" s="416"/>
      <c r="C106" s="108"/>
      <c r="D106" s="2"/>
      <c r="E106" s="2"/>
      <c r="F106" s="2"/>
      <c r="G106" s="1"/>
      <c r="H106" s="1"/>
      <c r="I106" s="1"/>
    </row>
    <row r="107" spans="1:9">
      <c r="A107" s="413"/>
      <c r="B107" s="416"/>
      <c r="C107" s="84"/>
      <c r="D107" s="84"/>
      <c r="E107" s="84"/>
      <c r="F107" s="84"/>
      <c r="G107" s="1"/>
      <c r="H107" s="1"/>
      <c r="I107" s="1"/>
    </row>
    <row r="108" spans="1:9">
      <c r="A108" s="413"/>
      <c r="B108" s="416"/>
      <c r="C108" s="84"/>
      <c r="D108" s="2"/>
      <c r="E108" s="84"/>
      <c r="F108" s="84"/>
      <c r="G108" s="1"/>
      <c r="H108" s="1"/>
      <c r="I108" s="1"/>
    </row>
    <row r="109" spans="1:9">
      <c r="A109" s="413"/>
      <c r="B109" s="416"/>
      <c r="C109" s="84"/>
      <c r="D109" s="2"/>
      <c r="E109" s="84"/>
      <c r="F109" s="84"/>
      <c r="G109" s="1"/>
      <c r="H109" s="1"/>
      <c r="I109" s="1"/>
    </row>
    <row r="110" spans="1:9">
      <c r="A110" s="413"/>
      <c r="B110" s="416"/>
      <c r="C110" s="84"/>
      <c r="D110" s="2"/>
      <c r="E110" s="84"/>
      <c r="F110" s="84"/>
      <c r="G110" s="1"/>
      <c r="H110" s="1"/>
      <c r="I110" s="1"/>
    </row>
    <row r="111" spans="1:9">
      <c r="A111" s="414"/>
      <c r="B111" s="417"/>
      <c r="C111" s="109"/>
      <c r="D111" s="25"/>
      <c r="E111" s="2"/>
      <c r="F111" s="109"/>
      <c r="G111" s="1"/>
      <c r="H111" s="1"/>
      <c r="I111" s="1"/>
    </row>
    <row r="112" spans="1:9">
      <c r="A112" s="1"/>
      <c r="B112" s="49"/>
      <c r="C112" s="105"/>
      <c r="D112" s="106"/>
      <c r="E112" s="106"/>
      <c r="F112" s="106"/>
      <c r="G112" s="107"/>
      <c r="H112" s="107"/>
      <c r="I112" s="49"/>
    </row>
    <row r="113" spans="1:9">
      <c r="A113" s="1"/>
      <c r="B113" s="1"/>
      <c r="C113" s="50"/>
      <c r="D113" s="89"/>
      <c r="E113" s="84"/>
      <c r="F113" s="84"/>
      <c r="G113" s="1"/>
      <c r="H113" s="1"/>
      <c r="I113" s="1"/>
    </row>
    <row r="114" spans="1:9">
      <c r="A114" s="1"/>
      <c r="B114" s="1"/>
      <c r="C114" s="40"/>
      <c r="D114" s="90"/>
      <c r="E114" s="9"/>
      <c r="F114" s="51"/>
      <c r="G114" s="1"/>
      <c r="H114" s="1"/>
      <c r="I114" s="1"/>
    </row>
  </sheetData>
  <autoFilter ref="A1:K114" xr:uid="{9AD16A1C-EE59-4E25-8F20-57C742F299E5}"/>
  <mergeCells count="11">
    <mergeCell ref="A79:A95"/>
    <mergeCell ref="B79:B95"/>
    <mergeCell ref="A96:A111"/>
    <mergeCell ref="B96:B111"/>
    <mergeCell ref="A2:A22"/>
    <mergeCell ref="B2:B22"/>
    <mergeCell ref="A23:A39"/>
    <mergeCell ref="B23:B39"/>
    <mergeCell ref="A55:A78"/>
    <mergeCell ref="B55:B78"/>
    <mergeCell ref="A40:A54"/>
  </mergeCells>
  <hyperlinks>
    <hyperlink ref="D3" r:id="rId1" display="https://jira.wiley.com/browse/CT-9070" xr:uid="{11AC3FA1-4ADC-4F92-A855-6B67EF3E180B}"/>
    <hyperlink ref="D23" r:id="rId2" xr:uid="{5088F568-B7DD-434A-A9E3-85F8B3F7F140}"/>
    <hyperlink ref="D24" r:id="rId3" xr:uid="{AF365403-4AAF-4835-9711-863A04D0658F}"/>
    <hyperlink ref="D25" r:id="rId4" xr:uid="{FE379BFC-4156-4532-B576-1BD3B4392B25}"/>
    <hyperlink ref="D26" r:id="rId5" xr:uid="{C2049A76-23E2-4854-A103-2E51818C805D}"/>
    <hyperlink ref="D27" r:id="rId6" xr:uid="{BD1861B5-524E-495F-AFC9-8BB4CAD91E90}"/>
    <hyperlink ref="D28" r:id="rId7" xr:uid="{A7E0B7F5-B57A-4DA8-A0C5-3E912869614B}"/>
    <hyperlink ref="D29" r:id="rId8" xr:uid="{D8BD0A88-A9C5-43A4-A1B3-588C8A61BE48}"/>
    <hyperlink ref="D30" r:id="rId9" xr:uid="{19A52E60-04BD-44F4-8CEF-C1C6A97CDBD1}"/>
    <hyperlink ref="D31" r:id="rId10" xr:uid="{15BCDD1F-6DA7-4DEC-BAB9-BDC74AC03C22}"/>
    <hyperlink ref="D32" r:id="rId11" xr:uid="{3F7A8F0B-FE3C-4FEB-A783-A6D8E2D0E50A}"/>
    <hyperlink ref="D33" r:id="rId12" xr:uid="{6ABA36FC-B30B-41C3-8270-407E305587F0}"/>
    <hyperlink ref="D34" r:id="rId13" xr:uid="{477F42F5-F81B-49B9-9AAC-C71EDB198C5D}"/>
    <hyperlink ref="D35" r:id="rId14" xr:uid="{E0F3DB2E-4C33-4E5C-B463-2523B5924D52}"/>
    <hyperlink ref="D36" r:id="rId15" xr:uid="{DC09005C-97D9-4073-B94E-F2AC1A7E24E8}"/>
    <hyperlink ref="D37" r:id="rId16" xr:uid="{84C13A72-E2CE-409E-A7E2-CC3EA97B8A93}"/>
    <hyperlink ref="D39" r:id="rId17" xr:uid="{47216F09-9A59-4847-96BD-0D157D73F65D}"/>
    <hyperlink ref="D40" r:id="rId18" display="https://jira.wiley.com/browse/CT-9410" xr:uid="{BF096876-C127-4D5C-B40F-A843EAA0759C}"/>
    <hyperlink ref="D41" r:id="rId19" display="https://jira.wiley.com/browse/CT-9409" xr:uid="{44394F80-BBE7-4734-ADD3-3B770743051F}"/>
    <hyperlink ref="D43" r:id="rId20" display="https://jira.wiley.com/browse/CT-9069" xr:uid="{F8C3D0DA-72F9-4372-8334-3C0C1F96D6A0}"/>
    <hyperlink ref="D44" r:id="rId21" display="https://jira.wiley.com/browse/CT-9068" xr:uid="{1D81B7D2-66A2-41BC-B627-5DAEAD61E9B0}"/>
    <hyperlink ref="D45" r:id="rId22" display="https://jira.wiley.com/browse/CT-9066" xr:uid="{5B358899-8D6E-4633-ACCC-DD8ECB9AD3FD}"/>
    <hyperlink ref="D46" r:id="rId23" display="https://jira.wiley.com/browse/CT-9061" xr:uid="{2505BBFD-226F-41DC-A0F5-16F17CAE8894}"/>
    <hyperlink ref="D47" r:id="rId24" display="https://jira.wiley.com/browse/CT-9055" xr:uid="{A91A9422-789A-4125-AE7D-FD8875682DA3}"/>
    <hyperlink ref="D48" r:id="rId25" display="https://jira.wiley.com/browse/CT-9054" xr:uid="{98F42144-E73B-413C-AFB6-C9BE88699D13}"/>
    <hyperlink ref="D49" r:id="rId26" display="https://jira.wiley.com/browse/CT-9051" xr:uid="{748DD88D-CC28-4CFD-A8CD-8242F0286104}"/>
    <hyperlink ref="D50" r:id="rId27" display="https://jira.wiley.com/browse/CT-9045" xr:uid="{901E6A2E-087A-4D79-9489-50D3E60F3251}"/>
    <hyperlink ref="D51" r:id="rId28" display="https://jira.wiley.com/browse/CT-9042" xr:uid="{B8741B95-F865-4276-8615-C7E02AC2C99F}"/>
    <hyperlink ref="D42" r:id="rId29" display="https://jira.wiley.com/browse/CT-9394" xr:uid="{227505DB-FFD1-43F4-AF71-DD0E6AA947B1}"/>
    <hyperlink ref="D55" r:id="rId30" display="https://jira.wiley.com/browse/CT-9722" xr:uid="{BD551ED4-74E7-4E63-B6A2-42E1AC129BB9}"/>
    <hyperlink ref="D56" r:id="rId31" display="https://jira.wiley.com/browse/CT-9606" xr:uid="{F2E21F11-75E9-4819-8CDE-C53DAE6495A0}"/>
    <hyperlink ref="D57" r:id="rId32" display="https://jira.wiley.com/browse/CT-9509" xr:uid="{3A70502B-89DA-4911-ADEB-12DE8BA7A895}"/>
    <hyperlink ref="D58" r:id="rId33" display="https://jira.wiley.com/browse/CT-9434" xr:uid="{07D3A06A-1FB3-4103-8E5B-6ABF03F592A7}"/>
    <hyperlink ref="D59" r:id="rId34" display="https://jira.wiley.com/browse/CT-9433" xr:uid="{B5CED557-2FA1-4E87-9788-42BC32A1C0BD}"/>
    <hyperlink ref="D60" r:id="rId35" display="https://jira.wiley.com/browse/CT-9419" xr:uid="{99B6D41B-9D8A-42EB-AEC9-AEC0399FAE84}"/>
    <hyperlink ref="D61" r:id="rId36" display="https://jira.wiley.com/browse/CT-9418" xr:uid="{C2178AC2-E8E9-46DC-A63E-FD81B4005CFB}"/>
    <hyperlink ref="D62" r:id="rId37" display="https://jira.wiley.com/browse/CT-9417" xr:uid="{E05616AA-1BAB-4724-A547-8F4DDB39DCFF}"/>
    <hyperlink ref="D63" r:id="rId38" display="https://jira.wiley.com/browse/CT-9416" xr:uid="{ACCA2CC6-311D-4739-936B-04C1C7E7934B}"/>
    <hyperlink ref="D64" r:id="rId39" display="https://jira.wiley.com/browse/CT-9415" xr:uid="{32F8242C-29C5-43EB-90D8-8A17062A23EA}"/>
    <hyperlink ref="D65" r:id="rId40" display="https://jira.wiley.com/browse/CT-9414" xr:uid="{A4A6B2F0-1C06-4B5F-98C6-14C312495660}"/>
    <hyperlink ref="D66" r:id="rId41" display="https://jira.wiley.com/browse/CT-9413" xr:uid="{AD08B63C-993E-4F75-8F77-54CF884AE37D}"/>
    <hyperlink ref="D67" r:id="rId42" display="https://jira.wiley.com/browse/CT-9383" xr:uid="{9E80BE0C-6DDD-41D8-929B-2F7FBCE5E785}"/>
    <hyperlink ref="D68" r:id="rId43" display="https://jira.wiley.com/browse/CT-9382" xr:uid="{8327FE6D-14A1-4C50-95D6-E9EFDBB1B530}"/>
    <hyperlink ref="D69" r:id="rId44" display="https://jira.wiley.com/browse/CT-9381" xr:uid="{E9BDA2B5-9438-46EB-96EF-4897F9FA8470}"/>
    <hyperlink ref="D70" r:id="rId45" display="https://jira.wiley.com/browse/CT-9380" xr:uid="{A3824A08-D212-4A61-A2EB-85C440DB3BD9}"/>
    <hyperlink ref="D71" r:id="rId46" display="https://jira.wiley.com/browse/CT-9354" xr:uid="{63451338-6E3D-4008-9DF4-650EFC308778}"/>
    <hyperlink ref="D72" r:id="rId47" display="https://jira.wiley.com/browse/CT-9352" xr:uid="{E95C288D-C313-4EC6-9D6F-C2E727463959}"/>
    <hyperlink ref="D73" r:id="rId48" display="https://jira.wiley.com/browse/CT-9118" xr:uid="{C0E5EC9A-9C1D-4AFF-BADE-7CB5D20092D9}"/>
    <hyperlink ref="D74" r:id="rId49" xr:uid="{6BF22653-B9E7-481F-BEC8-084AC1A859F7}"/>
    <hyperlink ref="D79" r:id="rId50" display="https://jira.wiley.com/browse/CT-9265" xr:uid="{9EAD842B-1F13-47F2-BE47-F11218D28303}"/>
    <hyperlink ref="D80" r:id="rId51" display="https://jira.wiley.com/browse/CT-10025" xr:uid="{F966CA29-A393-4BF2-B657-75A3968E54CD}"/>
    <hyperlink ref="D81" r:id="rId52" display="https://jira.wiley.com/browse/CT-9561" xr:uid="{62200D40-49A0-4310-937D-1D6E4301DE3A}"/>
    <hyperlink ref="D82" r:id="rId53" display="https://jira.wiley.com/browse/CT-9391" xr:uid="{9DA9770A-1E41-4CD8-AF33-35D7732154A0}"/>
    <hyperlink ref="D83" r:id="rId54" display="https://jira.wiley.com/browse/CT-9374" xr:uid="{A51E34E4-3C34-488D-8131-2132136C7AE6}"/>
    <hyperlink ref="D85" r:id="rId55" display="https://jira.wiley.com/browse/CT-9358" xr:uid="{5B566776-815D-497F-AC67-890D5ADAD214}"/>
    <hyperlink ref="D86" r:id="rId56" display="https://jira.wiley.com/browse/CT-9344" xr:uid="{ADD7F6E0-E887-44A4-BD7C-6550ECDFB30E}"/>
    <hyperlink ref="D87" r:id="rId57" display="https://jira.wiley.com/browse/CT-9343" xr:uid="{9BEF7A53-2DAF-43CF-A1C2-B6E7D2F2FED3}"/>
    <hyperlink ref="D88" r:id="rId58" display="https://jira.wiley.com/browse/CT-9342" xr:uid="{3228AB20-8C55-4CDE-932F-D1A0F9734A8C}"/>
    <hyperlink ref="D89" r:id="rId59" display="https://jira.wiley.com/browse/CT-9341" xr:uid="{5BA31BBE-0A74-469E-BD50-BE4C56164347}"/>
    <hyperlink ref="D90" r:id="rId60" display="https://jira.wiley.com/browse/CT-9340" xr:uid="{27223590-025F-4460-B507-DAFF99DEE3E5}"/>
    <hyperlink ref="D91" r:id="rId61" display="https://jira.wiley.com/browse/CT-8586" xr:uid="{D714A17B-BED5-4820-884C-9F9ECFBC3FA0}"/>
    <hyperlink ref="D92" r:id="rId62" display="https://jira.wiley.com/browse/CT-8428" xr:uid="{0B47ABC9-4C1D-4BBB-AEAA-E3C07B9C8934}"/>
    <hyperlink ref="D93" r:id="rId63" display="https://jira.wiley.com/browse/CT-8324" xr:uid="{C352577C-EF9C-4177-9063-3A1D07132B23}"/>
  </hyperlinks>
  <pageMargins left="0.7" right="0.7" top="0.75" bottom="0.75" header="0.3" footer="0.3"/>
  <pageSetup orientation="portrait" r:id="rId6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7D494-F6A5-498F-92B6-C2A0B2B43950}">
  <sheetPr codeName="Sheet9"/>
  <dimension ref="A1:K93"/>
  <sheetViews>
    <sheetView zoomScaleNormal="100" workbookViewId="0">
      <selection activeCell="E10" sqref="E10"/>
    </sheetView>
  </sheetViews>
  <sheetFormatPr defaultRowHeight="15" customHeight="1"/>
  <cols>
    <col min="1" max="1" width="11.375" customWidth="1"/>
    <col min="2" max="2" width="10.375" bestFit="1" customWidth="1"/>
    <col min="3" max="3" width="13.375" customWidth="1"/>
    <col min="5" max="5" width="72.375" bestFit="1" customWidth="1"/>
    <col min="6" max="6" width="14.375" customWidth="1"/>
    <col min="7" max="7" width="14.375" bestFit="1" customWidth="1"/>
    <col min="8" max="8" width="13.375" bestFit="1" customWidth="1"/>
    <col min="9" max="9" width="14.375" customWidth="1"/>
    <col min="10" max="10" width="19.375" customWidth="1"/>
    <col min="11" max="11" width="7.375" bestFit="1" customWidth="1"/>
  </cols>
  <sheetData>
    <row r="1" spans="1:10" ht="14.1">
      <c r="A1" s="53" t="s">
        <v>50</v>
      </c>
      <c r="B1" s="53" t="s">
        <v>108</v>
      </c>
      <c r="C1" s="53" t="s">
        <v>109</v>
      </c>
      <c r="D1" s="53" t="s">
        <v>110</v>
      </c>
      <c r="E1" s="53" t="s">
        <v>111</v>
      </c>
      <c r="F1" s="53" t="s">
        <v>466</v>
      </c>
      <c r="G1" s="53" t="s">
        <v>3</v>
      </c>
      <c r="H1" s="53" t="s">
        <v>788</v>
      </c>
      <c r="I1" s="53" t="s">
        <v>789</v>
      </c>
    </row>
    <row r="2" spans="1:10" ht="14.1">
      <c r="A2" s="345" t="s">
        <v>116</v>
      </c>
      <c r="B2" s="419" t="s">
        <v>1198</v>
      </c>
      <c r="C2" s="52" t="s">
        <v>32</v>
      </c>
      <c r="D2" s="52" t="s">
        <v>1199</v>
      </c>
      <c r="E2" s="38" t="s">
        <v>1200</v>
      </c>
      <c r="F2" s="9">
        <v>5</v>
      </c>
      <c r="G2" s="49" t="s">
        <v>119</v>
      </c>
      <c r="H2" s="49"/>
      <c r="I2" s="49"/>
    </row>
    <row r="3" spans="1:10" ht="14.1">
      <c r="A3" s="344"/>
      <c r="B3" s="355"/>
      <c r="C3" s="37" t="s">
        <v>32</v>
      </c>
      <c r="D3" s="37" t="s">
        <v>1201</v>
      </c>
      <c r="E3" s="39" t="s">
        <v>1202</v>
      </c>
      <c r="F3" s="2">
        <v>3</v>
      </c>
      <c r="G3" s="1"/>
      <c r="H3" s="1"/>
      <c r="I3" s="1"/>
    </row>
    <row r="4" spans="1:10" ht="14.1">
      <c r="A4" s="344"/>
      <c r="B4" s="355"/>
      <c r="C4" s="37" t="s">
        <v>32</v>
      </c>
      <c r="D4" s="37" t="s">
        <v>1203</v>
      </c>
      <c r="E4" s="2" t="s">
        <v>1204</v>
      </c>
      <c r="F4" s="2">
        <v>8</v>
      </c>
      <c r="G4" s="1"/>
      <c r="H4" s="6"/>
      <c r="I4" s="1"/>
    </row>
    <row r="5" spans="1:10" ht="14.1">
      <c r="A5" s="317"/>
      <c r="B5" s="355"/>
      <c r="C5" s="40" t="s">
        <v>7</v>
      </c>
      <c r="D5" s="35" t="s">
        <v>1205</v>
      </c>
      <c r="E5" s="2" t="s">
        <v>1206</v>
      </c>
      <c r="F5" s="41">
        <v>2</v>
      </c>
      <c r="G5" s="42"/>
      <c r="H5" s="36"/>
      <c r="I5" s="43"/>
    </row>
    <row r="6" spans="1:10" ht="14.1">
      <c r="A6" s="317"/>
      <c r="B6" s="355"/>
      <c r="C6" s="40" t="s">
        <v>7</v>
      </c>
      <c r="D6" s="35" t="s">
        <v>1207</v>
      </c>
      <c r="E6" s="2" t="s">
        <v>1208</v>
      </c>
      <c r="F6" s="44">
        <v>3</v>
      </c>
      <c r="G6" s="45"/>
      <c r="H6" s="36"/>
      <c r="I6" s="43"/>
    </row>
    <row r="7" spans="1:10" ht="14.1">
      <c r="A7" s="317"/>
      <c r="B7" s="355"/>
      <c r="C7" s="40" t="s">
        <v>7</v>
      </c>
      <c r="D7" s="35" t="s">
        <v>1209</v>
      </c>
      <c r="E7" s="2" t="s">
        <v>1210</v>
      </c>
      <c r="F7" s="44">
        <v>3</v>
      </c>
      <c r="G7" s="42" t="s">
        <v>284</v>
      </c>
      <c r="H7" s="36"/>
      <c r="I7" s="43"/>
    </row>
    <row r="8" spans="1:10" ht="14.1">
      <c r="A8" s="317"/>
      <c r="B8" s="355"/>
      <c r="C8" s="40" t="s">
        <v>7</v>
      </c>
      <c r="D8" s="35" t="s">
        <v>1211</v>
      </c>
      <c r="E8" s="2" t="s">
        <v>1212</v>
      </c>
      <c r="F8" s="44">
        <v>3</v>
      </c>
      <c r="G8" s="42" t="s">
        <v>284</v>
      </c>
      <c r="H8" s="36"/>
      <c r="I8" s="43"/>
    </row>
    <row r="9" spans="1:10" ht="14.1">
      <c r="A9" s="317"/>
      <c r="B9" s="355"/>
      <c r="C9" s="40" t="s">
        <v>7</v>
      </c>
      <c r="D9" s="35" t="s">
        <v>1213</v>
      </c>
      <c r="E9" s="2" t="s">
        <v>1214</v>
      </c>
      <c r="F9" s="44">
        <v>1</v>
      </c>
      <c r="G9" s="42" t="s">
        <v>284</v>
      </c>
      <c r="H9" s="36"/>
      <c r="I9" s="43"/>
    </row>
    <row r="10" spans="1:10" ht="14.1">
      <c r="A10" s="317"/>
      <c r="B10" s="355"/>
      <c r="C10" s="40" t="s">
        <v>7</v>
      </c>
      <c r="D10" s="35" t="s">
        <v>1215</v>
      </c>
      <c r="E10" s="2" t="s">
        <v>1216</v>
      </c>
      <c r="F10" s="44">
        <v>5</v>
      </c>
      <c r="G10" s="45" t="s">
        <v>994</v>
      </c>
      <c r="H10" s="36"/>
      <c r="I10" s="43"/>
    </row>
    <row r="11" spans="1:10" ht="14.1">
      <c r="A11" s="317"/>
      <c r="B11" s="355"/>
      <c r="C11" s="40" t="s">
        <v>7</v>
      </c>
      <c r="D11" s="35" t="s">
        <v>1217</v>
      </c>
      <c r="E11" s="2" t="s">
        <v>1218</v>
      </c>
      <c r="F11" s="44">
        <v>3</v>
      </c>
      <c r="G11" s="45"/>
      <c r="H11" s="36"/>
      <c r="I11" s="43"/>
    </row>
    <row r="12" spans="1:10" ht="14.1">
      <c r="A12" s="317"/>
      <c r="B12" s="355"/>
      <c r="C12" s="40" t="s">
        <v>7</v>
      </c>
      <c r="D12" s="35" t="s">
        <v>1219</v>
      </c>
      <c r="E12" s="2" t="s">
        <v>1220</v>
      </c>
      <c r="F12" s="44">
        <v>5</v>
      </c>
      <c r="G12" s="45"/>
      <c r="H12" s="36"/>
      <c r="I12" s="43"/>
    </row>
    <row r="13" spans="1:10" ht="14.1">
      <c r="A13" s="317"/>
      <c r="B13" s="355"/>
      <c r="C13" s="40" t="s">
        <v>7</v>
      </c>
      <c r="D13" s="35" t="s">
        <v>1221</v>
      </c>
      <c r="E13" s="2" t="s">
        <v>1222</v>
      </c>
      <c r="F13" s="44">
        <v>8</v>
      </c>
      <c r="G13" s="45"/>
      <c r="H13" s="36"/>
      <c r="I13" s="43"/>
    </row>
    <row r="14" spans="1:10" ht="14.1">
      <c r="A14" s="317"/>
      <c r="B14" s="355"/>
      <c r="C14" s="40" t="s">
        <v>7</v>
      </c>
      <c r="D14" s="35" t="s">
        <v>1223</v>
      </c>
      <c r="E14" s="2" t="s">
        <v>1224</v>
      </c>
      <c r="F14" s="44">
        <v>2</v>
      </c>
      <c r="G14" s="45"/>
      <c r="H14" s="36"/>
      <c r="I14" s="43"/>
    </row>
    <row r="15" spans="1:10" ht="14.1">
      <c r="A15" s="318"/>
      <c r="B15" s="343"/>
      <c r="C15" s="40" t="s">
        <v>7</v>
      </c>
      <c r="D15" s="35" t="s">
        <v>1225</v>
      </c>
      <c r="E15" s="2" t="s">
        <v>1226</v>
      </c>
      <c r="F15" s="44">
        <v>3</v>
      </c>
      <c r="G15" s="42" t="s">
        <v>284</v>
      </c>
      <c r="H15" s="36"/>
      <c r="I15" s="43"/>
    </row>
    <row r="16" spans="1:10" ht="27.95">
      <c r="A16" s="317" t="s">
        <v>122</v>
      </c>
      <c r="B16" s="419" t="s">
        <v>1227</v>
      </c>
      <c r="H16" s="36"/>
      <c r="I16" s="43"/>
      <c r="J16" s="34" t="s">
        <v>1228</v>
      </c>
    </row>
    <row r="17" spans="1:11" ht="14.1">
      <c r="A17" s="317"/>
      <c r="B17" s="355"/>
      <c r="C17" s="46" t="s">
        <v>32</v>
      </c>
      <c r="D17" s="2" t="s">
        <v>1229</v>
      </c>
      <c r="E17" s="48" t="s">
        <v>1230</v>
      </c>
      <c r="F17" s="2"/>
      <c r="G17" s="1" t="s">
        <v>118</v>
      </c>
      <c r="H17" s="49"/>
      <c r="I17" s="1"/>
      <c r="J17" t="s">
        <v>737</v>
      </c>
      <c r="K17" t="s">
        <v>1231</v>
      </c>
    </row>
    <row r="18" spans="1:11" ht="14.1">
      <c r="A18" s="317"/>
      <c r="B18" s="355"/>
      <c r="C18" s="46" t="s">
        <v>32</v>
      </c>
      <c r="D18" s="2" t="s">
        <v>1232</v>
      </c>
      <c r="E18" s="2" t="s">
        <v>1233</v>
      </c>
      <c r="F18" s="2">
        <v>3</v>
      </c>
      <c r="G18" s="1" t="s">
        <v>120</v>
      </c>
      <c r="H18" s="1"/>
      <c r="I18" s="1"/>
    </row>
    <row r="19" spans="1:11" ht="14.1">
      <c r="A19" s="317"/>
      <c r="B19" s="355"/>
      <c r="C19" s="46" t="s">
        <v>32</v>
      </c>
      <c r="D19" s="2" t="s">
        <v>1234</v>
      </c>
      <c r="E19" s="19" t="s">
        <v>1235</v>
      </c>
      <c r="F19" s="2">
        <v>3</v>
      </c>
      <c r="G19" s="1"/>
      <c r="H19" s="1"/>
      <c r="I19" s="1"/>
      <c r="J19" s="1"/>
    </row>
    <row r="20" spans="1:11" ht="14.1">
      <c r="A20" s="317"/>
      <c r="B20" s="355"/>
      <c r="C20" s="46" t="s">
        <v>32</v>
      </c>
      <c r="D20" s="2" t="s">
        <v>1236</v>
      </c>
      <c r="E20" s="2" t="s">
        <v>1237</v>
      </c>
      <c r="F20" s="2">
        <v>1</v>
      </c>
      <c r="G20" s="1" t="s">
        <v>1238</v>
      </c>
      <c r="H20" s="1"/>
      <c r="I20" s="1">
        <v>2</v>
      </c>
      <c r="J20" s="1"/>
    </row>
    <row r="21" spans="1:11" ht="14.1">
      <c r="A21" s="317"/>
      <c r="B21" s="355"/>
      <c r="C21" s="46" t="s">
        <v>32</v>
      </c>
      <c r="D21" s="2" t="s">
        <v>1239</v>
      </c>
      <c r="E21" s="2" t="s">
        <v>1240</v>
      </c>
      <c r="F21" s="2">
        <v>3</v>
      </c>
      <c r="G21" s="1" t="s">
        <v>1238</v>
      </c>
      <c r="H21" s="1"/>
      <c r="I21" s="1">
        <v>4</v>
      </c>
      <c r="J21" s="1"/>
    </row>
    <row r="22" spans="1:11" ht="14.1">
      <c r="A22" s="317"/>
      <c r="B22" s="355"/>
      <c r="C22" s="46" t="s">
        <v>32</v>
      </c>
      <c r="D22" s="2" t="s">
        <v>1241</v>
      </c>
      <c r="E22" s="2" t="s">
        <v>1242</v>
      </c>
      <c r="F22" s="2">
        <v>1</v>
      </c>
      <c r="G22" s="1" t="s">
        <v>1238</v>
      </c>
      <c r="H22" s="1"/>
      <c r="I22" s="1">
        <v>8</v>
      </c>
      <c r="J22" s="1"/>
    </row>
    <row r="23" spans="1:11" ht="14.1">
      <c r="A23" s="317"/>
      <c r="B23" s="355"/>
      <c r="C23" s="46" t="s">
        <v>32</v>
      </c>
      <c r="D23" s="2" t="s">
        <v>1243</v>
      </c>
      <c r="E23" s="2" t="s">
        <v>1244</v>
      </c>
      <c r="F23" s="2">
        <v>1</v>
      </c>
      <c r="G23" s="1" t="s">
        <v>1238</v>
      </c>
      <c r="H23" s="1"/>
      <c r="I23" s="1">
        <v>6</v>
      </c>
      <c r="J23" s="1"/>
    </row>
    <row r="24" spans="1:11" ht="14.1">
      <c r="A24" s="317"/>
      <c r="B24" s="355"/>
      <c r="C24" s="40" t="s">
        <v>7</v>
      </c>
      <c r="D24" s="35" t="s">
        <v>1245</v>
      </c>
      <c r="E24" s="41" t="s">
        <v>1246</v>
      </c>
      <c r="F24" s="41">
        <v>2</v>
      </c>
      <c r="G24" s="1" t="s">
        <v>284</v>
      </c>
      <c r="H24" s="1"/>
      <c r="I24" s="1"/>
      <c r="J24" s="1"/>
    </row>
    <row r="25" spans="1:11" ht="14.1">
      <c r="A25" s="317"/>
      <c r="B25" s="355"/>
      <c r="C25" s="40" t="s">
        <v>7</v>
      </c>
      <c r="D25" s="35" t="s">
        <v>1247</v>
      </c>
      <c r="E25" s="44" t="s">
        <v>1248</v>
      </c>
      <c r="F25" s="44">
        <v>5</v>
      </c>
      <c r="G25" s="1" t="s">
        <v>284</v>
      </c>
      <c r="H25" s="1"/>
      <c r="I25" s="1"/>
      <c r="J25" s="1"/>
    </row>
    <row r="26" spans="1:11" s="30" customFormat="1" ht="14.1">
      <c r="A26" s="317"/>
      <c r="B26" s="355"/>
      <c r="C26" s="54" t="s">
        <v>7</v>
      </c>
      <c r="D26" s="55" t="s">
        <v>1249</v>
      </c>
      <c r="E26" s="56" t="s">
        <v>1250</v>
      </c>
      <c r="F26" s="56">
        <v>3</v>
      </c>
      <c r="G26" s="26" t="s">
        <v>120</v>
      </c>
      <c r="H26" s="26"/>
      <c r="I26" s="26" t="s">
        <v>1251</v>
      </c>
      <c r="J26" s="30" t="s">
        <v>737</v>
      </c>
    </row>
    <row r="27" spans="1:11" ht="14.1">
      <c r="A27" s="317"/>
      <c r="B27" s="355"/>
      <c r="C27" s="40" t="s">
        <v>7</v>
      </c>
      <c r="D27" s="35" t="s">
        <v>1252</v>
      </c>
      <c r="E27" s="44" t="s">
        <v>1253</v>
      </c>
      <c r="F27" s="44">
        <v>3</v>
      </c>
      <c r="G27" s="1"/>
      <c r="H27" s="1"/>
      <c r="I27" s="1"/>
    </row>
    <row r="28" spans="1:11" ht="14.1">
      <c r="A28" s="318" t="s">
        <v>156</v>
      </c>
      <c r="B28" s="318" t="s">
        <v>1254</v>
      </c>
      <c r="C28" s="46" t="s">
        <v>32</v>
      </c>
      <c r="D28" s="59" t="s">
        <v>1255</v>
      </c>
      <c r="E28" s="2" t="s">
        <v>1256</v>
      </c>
      <c r="F28" s="2">
        <v>3</v>
      </c>
      <c r="G28" s="47" t="s">
        <v>994</v>
      </c>
      <c r="H28" s="1"/>
      <c r="I28" s="1"/>
    </row>
    <row r="29" spans="1:11" ht="14.1">
      <c r="A29" s="355"/>
      <c r="B29" s="355"/>
      <c r="C29" s="46" t="s">
        <v>32</v>
      </c>
      <c r="D29" s="59" t="s">
        <v>1257</v>
      </c>
      <c r="E29" s="2" t="s">
        <v>1258</v>
      </c>
      <c r="F29" s="2">
        <v>3</v>
      </c>
      <c r="G29" s="1"/>
      <c r="H29" s="1"/>
      <c r="I29" s="1"/>
    </row>
    <row r="30" spans="1:11" ht="14.1">
      <c r="A30" s="355"/>
      <c r="B30" s="355"/>
      <c r="C30" s="46" t="s">
        <v>32</v>
      </c>
      <c r="D30" s="59" t="s">
        <v>1259</v>
      </c>
      <c r="E30" s="2" t="s">
        <v>1260</v>
      </c>
      <c r="F30" s="2">
        <v>5</v>
      </c>
      <c r="G30" s="1"/>
      <c r="H30" s="1"/>
      <c r="I30" s="1"/>
    </row>
    <row r="31" spans="1:11" ht="14.1">
      <c r="A31" s="355"/>
      <c r="B31" s="355"/>
      <c r="C31" s="46" t="s">
        <v>32</v>
      </c>
      <c r="D31" s="59" t="s">
        <v>1261</v>
      </c>
      <c r="E31" s="19" t="s">
        <v>1262</v>
      </c>
      <c r="F31" s="2">
        <v>3</v>
      </c>
      <c r="G31" s="1"/>
      <c r="H31" s="1"/>
      <c r="I31" s="1"/>
    </row>
    <row r="32" spans="1:11" ht="14.1">
      <c r="A32" s="355"/>
      <c r="B32" s="355"/>
      <c r="C32" s="46" t="s">
        <v>32</v>
      </c>
      <c r="D32" s="59" t="s">
        <v>1263</v>
      </c>
      <c r="E32" s="2" t="s">
        <v>1264</v>
      </c>
      <c r="F32" s="2">
        <v>1</v>
      </c>
      <c r="G32" s="1" t="s">
        <v>118</v>
      </c>
      <c r="H32" s="1"/>
      <c r="I32" s="1"/>
    </row>
    <row r="33" spans="1:9" ht="14.1">
      <c r="A33" s="355"/>
      <c r="B33" s="355"/>
      <c r="C33" s="46" t="s">
        <v>32</v>
      </c>
      <c r="D33" s="59" t="s">
        <v>1265</v>
      </c>
      <c r="E33" s="2" t="s">
        <v>1266</v>
      </c>
      <c r="F33" s="2">
        <v>2</v>
      </c>
      <c r="G33" s="1" t="s">
        <v>120</v>
      </c>
      <c r="H33" s="1"/>
      <c r="I33" s="1">
        <v>7</v>
      </c>
    </row>
    <row r="34" spans="1:9" ht="14.1">
      <c r="A34" s="355"/>
      <c r="B34" s="355"/>
      <c r="C34" s="46" t="s">
        <v>32</v>
      </c>
      <c r="D34" s="59" t="s">
        <v>1267</v>
      </c>
      <c r="E34" s="2" t="s">
        <v>1268</v>
      </c>
      <c r="F34" s="2">
        <v>3</v>
      </c>
      <c r="G34" s="1" t="s">
        <v>994</v>
      </c>
      <c r="H34" s="1"/>
      <c r="I34" s="1">
        <v>7</v>
      </c>
    </row>
    <row r="35" spans="1:9" ht="14.1">
      <c r="A35" s="355"/>
      <c r="B35" s="355"/>
      <c r="C35" s="57" t="s">
        <v>32</v>
      </c>
      <c r="D35" s="60" t="s">
        <v>1269</v>
      </c>
      <c r="E35" s="14" t="s">
        <v>1270</v>
      </c>
      <c r="F35" s="14">
        <v>1</v>
      </c>
      <c r="G35" s="1" t="s">
        <v>118</v>
      </c>
      <c r="H35" s="1"/>
      <c r="I35" s="1"/>
    </row>
    <row r="36" spans="1:9" ht="14.1">
      <c r="A36" s="355"/>
      <c r="B36" s="312"/>
      <c r="C36" s="37" t="s">
        <v>7</v>
      </c>
      <c r="D36" s="58" t="s">
        <v>1271</v>
      </c>
      <c r="E36" s="12" t="s">
        <v>1272</v>
      </c>
      <c r="F36" s="12"/>
      <c r="G36" s="43"/>
      <c r="H36" s="1"/>
      <c r="I36" s="1"/>
    </row>
    <row r="37" spans="1:9" ht="14.1">
      <c r="A37" s="355"/>
      <c r="B37" s="312"/>
      <c r="C37" s="37" t="s">
        <v>7</v>
      </c>
      <c r="D37" s="58" t="s">
        <v>1207</v>
      </c>
      <c r="E37" s="12" t="s">
        <v>1208</v>
      </c>
      <c r="F37" s="12">
        <v>3</v>
      </c>
      <c r="G37" s="43"/>
      <c r="H37" s="1"/>
      <c r="I37" s="1"/>
    </row>
    <row r="38" spans="1:9" ht="14.1">
      <c r="A38" s="355"/>
      <c r="B38" s="312"/>
      <c r="C38" s="37" t="s">
        <v>7</v>
      </c>
      <c r="D38" s="58" t="s">
        <v>1273</v>
      </c>
      <c r="E38" s="12" t="s">
        <v>1274</v>
      </c>
      <c r="F38" s="12"/>
      <c r="G38" s="43"/>
      <c r="H38" s="1"/>
      <c r="I38" s="1"/>
    </row>
    <row r="39" spans="1:9" ht="14.1">
      <c r="A39" s="355"/>
      <c r="B39" s="355"/>
      <c r="C39" s="40" t="s">
        <v>7</v>
      </c>
      <c r="D39" s="61" t="s">
        <v>1275</v>
      </c>
      <c r="E39" s="75" t="s">
        <v>1276</v>
      </c>
      <c r="F39" s="44">
        <v>5</v>
      </c>
      <c r="G39" s="1" t="s">
        <v>994</v>
      </c>
      <c r="H39" s="1"/>
      <c r="I39" s="1"/>
    </row>
    <row r="40" spans="1:9" ht="14.1">
      <c r="A40" s="355"/>
      <c r="B40" s="355"/>
      <c r="C40" s="46" t="s">
        <v>7</v>
      </c>
      <c r="D40" s="59" t="s">
        <v>1277</v>
      </c>
      <c r="E40" s="44" t="s">
        <v>1278</v>
      </c>
      <c r="F40" s="27">
        <v>5</v>
      </c>
      <c r="G40" s="1" t="s">
        <v>994</v>
      </c>
      <c r="H40" s="1"/>
      <c r="I40" s="1"/>
    </row>
    <row r="41" spans="1:9" ht="14.1">
      <c r="A41" s="355"/>
      <c r="B41" s="355"/>
      <c r="C41" s="46" t="s">
        <v>7</v>
      </c>
      <c r="D41" s="40" t="s">
        <v>1279</v>
      </c>
      <c r="E41" s="44" t="s">
        <v>1280</v>
      </c>
      <c r="F41" s="27">
        <v>5</v>
      </c>
      <c r="G41" s="1" t="s">
        <v>120</v>
      </c>
      <c r="H41" s="1"/>
      <c r="I41" s="1">
        <v>137</v>
      </c>
    </row>
    <row r="42" spans="1:9" ht="14.1">
      <c r="A42" s="355"/>
      <c r="B42" s="355"/>
      <c r="C42" s="40" t="s">
        <v>7</v>
      </c>
      <c r="D42" s="40" t="s">
        <v>1281</v>
      </c>
      <c r="E42" s="44" t="s">
        <v>1282</v>
      </c>
      <c r="F42" s="44">
        <v>3</v>
      </c>
      <c r="G42" s="1" t="s">
        <v>284</v>
      </c>
      <c r="H42" s="1"/>
      <c r="I42" s="1"/>
    </row>
    <row r="43" spans="1:9" ht="14.1">
      <c r="A43" s="355"/>
      <c r="B43" s="355"/>
      <c r="C43" s="40" t="s">
        <v>7</v>
      </c>
      <c r="D43" s="40" t="s">
        <v>1283</v>
      </c>
      <c r="E43" s="44" t="s">
        <v>1284</v>
      </c>
      <c r="F43" s="44">
        <v>5</v>
      </c>
      <c r="G43" s="1"/>
      <c r="H43" s="1"/>
      <c r="I43" s="1"/>
    </row>
    <row r="44" spans="1:9" ht="14.1">
      <c r="A44" s="355"/>
      <c r="B44" s="355"/>
      <c r="C44" s="40" t="s">
        <v>7</v>
      </c>
      <c r="D44" s="40" t="s">
        <v>1285</v>
      </c>
      <c r="E44" s="44" t="s">
        <v>1286</v>
      </c>
      <c r="F44" s="44">
        <v>5</v>
      </c>
      <c r="G44" s="1"/>
      <c r="H44" s="1"/>
      <c r="I44" s="1"/>
    </row>
    <row r="45" spans="1:9" ht="14.1">
      <c r="A45" s="355"/>
      <c r="B45" s="355"/>
      <c r="C45" s="40" t="s">
        <v>7</v>
      </c>
      <c r="D45" s="40" t="s">
        <v>1287</v>
      </c>
      <c r="E45" s="44" t="s">
        <v>1288</v>
      </c>
      <c r="F45" s="44"/>
      <c r="G45" s="1" t="s">
        <v>120</v>
      </c>
      <c r="H45" s="1"/>
      <c r="I45" s="1"/>
    </row>
    <row r="46" spans="1:9" ht="14.1">
      <c r="A46" s="355"/>
      <c r="B46" s="355"/>
      <c r="C46" s="40" t="s">
        <v>7</v>
      </c>
      <c r="D46" s="40" t="s">
        <v>1289</v>
      </c>
      <c r="E46" s="44" t="s">
        <v>1290</v>
      </c>
      <c r="F46" s="44"/>
      <c r="G46" s="1" t="s">
        <v>994</v>
      </c>
      <c r="H46" s="1"/>
      <c r="I46" s="1"/>
    </row>
    <row r="47" spans="1:9" ht="14.1">
      <c r="A47" s="343"/>
      <c r="B47" s="355"/>
      <c r="C47" s="40" t="s">
        <v>7</v>
      </c>
      <c r="D47" s="40" t="s">
        <v>1291</v>
      </c>
      <c r="E47" s="44" t="s">
        <v>1292</v>
      </c>
      <c r="F47" s="44">
        <v>3</v>
      </c>
      <c r="G47" s="1"/>
      <c r="H47" s="1"/>
      <c r="I47" s="1"/>
    </row>
    <row r="48" spans="1:9" ht="14.1">
      <c r="A48" s="344" t="s">
        <v>256</v>
      </c>
      <c r="B48" s="317"/>
      <c r="C48" s="46" t="s">
        <v>32</v>
      </c>
      <c r="D48" s="66" t="s">
        <v>1293</v>
      </c>
      <c r="E48" s="2" t="s">
        <v>1294</v>
      </c>
      <c r="F48" s="2">
        <v>1</v>
      </c>
      <c r="G48" s="1" t="s">
        <v>121</v>
      </c>
      <c r="H48" s="1"/>
      <c r="I48" s="1"/>
    </row>
    <row r="49" spans="1:10" ht="14.1">
      <c r="A49" s="344"/>
      <c r="B49" s="317"/>
      <c r="C49" s="46" t="s">
        <v>32</v>
      </c>
      <c r="D49" s="66" t="s">
        <v>1295</v>
      </c>
      <c r="E49" s="14" t="s">
        <v>1296</v>
      </c>
      <c r="F49" s="14">
        <v>5</v>
      </c>
      <c r="G49" s="1" t="s">
        <v>120</v>
      </c>
      <c r="H49" s="1"/>
      <c r="I49" s="1">
        <v>19</v>
      </c>
    </row>
    <row r="50" spans="1:10" ht="14.1">
      <c r="A50" s="344"/>
      <c r="B50" s="317"/>
      <c r="C50" s="46" t="s">
        <v>32</v>
      </c>
      <c r="D50" s="67" t="s">
        <v>1297</v>
      </c>
      <c r="E50" s="76" t="s">
        <v>1298</v>
      </c>
      <c r="F50" s="12">
        <v>5</v>
      </c>
      <c r="G50" s="43" t="s">
        <v>994</v>
      </c>
      <c r="H50" s="1" t="s">
        <v>121</v>
      </c>
      <c r="I50" s="1"/>
    </row>
    <row r="51" spans="1:10" ht="14.1">
      <c r="A51" s="344"/>
      <c r="B51" s="317"/>
      <c r="C51" s="46" t="s">
        <v>243</v>
      </c>
      <c r="D51" s="67" t="s">
        <v>1299</v>
      </c>
      <c r="E51" s="76" t="s">
        <v>1300</v>
      </c>
      <c r="F51" s="12">
        <v>5</v>
      </c>
      <c r="G51" s="43" t="s">
        <v>994</v>
      </c>
      <c r="H51" s="1" t="s">
        <v>121</v>
      </c>
      <c r="I51" s="1"/>
    </row>
    <row r="52" spans="1:10" ht="14.1">
      <c r="A52" s="344"/>
      <c r="B52" s="317"/>
      <c r="C52" s="46" t="s">
        <v>243</v>
      </c>
      <c r="D52" s="67" t="s">
        <v>1301</v>
      </c>
      <c r="E52" s="76" t="s">
        <v>1302</v>
      </c>
      <c r="F52" s="12">
        <v>2</v>
      </c>
      <c r="G52" s="43" t="s">
        <v>994</v>
      </c>
      <c r="H52" s="1" t="s">
        <v>121</v>
      </c>
      <c r="I52" s="1"/>
    </row>
    <row r="53" spans="1:10" ht="14.1">
      <c r="A53" s="344"/>
      <c r="B53" s="317"/>
      <c r="C53" s="46" t="s">
        <v>243</v>
      </c>
      <c r="D53" s="67" t="s">
        <v>1303</v>
      </c>
      <c r="E53" s="76" t="s">
        <v>1304</v>
      </c>
      <c r="F53" s="12">
        <v>2</v>
      </c>
      <c r="G53" s="43" t="s">
        <v>994</v>
      </c>
      <c r="H53" s="1" t="s">
        <v>121</v>
      </c>
      <c r="I53" s="1"/>
    </row>
    <row r="54" spans="1:10" ht="14.1">
      <c r="A54" s="344"/>
      <c r="B54" s="317"/>
      <c r="C54" s="40" t="s">
        <v>7</v>
      </c>
      <c r="D54" s="66" t="s">
        <v>1305</v>
      </c>
      <c r="E54" s="75" t="s">
        <v>1306</v>
      </c>
      <c r="F54" s="44">
        <v>2</v>
      </c>
      <c r="G54" s="1" t="s">
        <v>994</v>
      </c>
      <c r="H54" s="1"/>
      <c r="I54" s="1"/>
      <c r="J54" s="78"/>
    </row>
    <row r="55" spans="1:10" ht="14.1">
      <c r="A55" s="344"/>
      <c r="B55" s="317"/>
      <c r="C55" s="40" t="s">
        <v>7</v>
      </c>
      <c r="D55" s="66" t="s">
        <v>1307</v>
      </c>
      <c r="E55" s="40" t="s">
        <v>1308</v>
      </c>
      <c r="F55" s="44"/>
      <c r="G55" s="1" t="s">
        <v>118</v>
      </c>
      <c r="H55" s="1"/>
      <c r="I55" s="1"/>
    </row>
    <row r="56" spans="1:10" ht="14.1">
      <c r="A56" s="340"/>
      <c r="B56" s="318"/>
      <c r="C56" s="40" t="s">
        <v>7</v>
      </c>
      <c r="D56" s="66" t="s">
        <v>1309</v>
      </c>
      <c r="E56" s="54" t="s">
        <v>1310</v>
      </c>
      <c r="F56" s="44"/>
      <c r="G56" s="1" t="s">
        <v>121</v>
      </c>
      <c r="H56" s="1"/>
      <c r="I56" s="1"/>
    </row>
    <row r="57" spans="1:10" ht="14.1">
      <c r="A57" s="342" t="s">
        <v>1159</v>
      </c>
      <c r="B57" s="342" t="s">
        <v>1311</v>
      </c>
      <c r="C57" s="46" t="s">
        <v>32</v>
      </c>
      <c r="D57" s="66" t="s">
        <v>1312</v>
      </c>
      <c r="E57" s="2" t="s">
        <v>1313</v>
      </c>
      <c r="F57" s="2">
        <v>2</v>
      </c>
      <c r="G57" s="1" t="s">
        <v>994</v>
      </c>
      <c r="H57" s="1" t="s">
        <v>118</v>
      </c>
      <c r="I57" s="1">
        <v>5</v>
      </c>
    </row>
    <row r="58" spans="1:10" ht="14.1">
      <c r="A58" s="342"/>
      <c r="B58" s="342"/>
      <c r="C58" s="46" t="s">
        <v>32</v>
      </c>
      <c r="D58" s="59" t="s">
        <v>1314</v>
      </c>
      <c r="E58" s="2" t="s">
        <v>1315</v>
      </c>
      <c r="F58" s="2">
        <v>2</v>
      </c>
      <c r="G58" s="1" t="s">
        <v>994</v>
      </c>
      <c r="H58" s="1" t="s">
        <v>118</v>
      </c>
      <c r="I58" s="1">
        <v>1</v>
      </c>
    </row>
    <row r="59" spans="1:10" ht="14.1">
      <c r="A59" s="342"/>
      <c r="B59" s="342"/>
      <c r="C59" s="46" t="s">
        <v>32</v>
      </c>
      <c r="D59" s="59" t="s">
        <v>1316</v>
      </c>
      <c r="E59" s="2" t="s">
        <v>1317</v>
      </c>
      <c r="F59" s="2">
        <v>3</v>
      </c>
      <c r="G59" s="1" t="s">
        <v>118</v>
      </c>
      <c r="H59" s="1"/>
      <c r="I59" s="1"/>
    </row>
    <row r="60" spans="1:10" ht="14.1">
      <c r="A60" s="342"/>
      <c r="B60" s="342"/>
      <c r="C60" s="46" t="s">
        <v>32</v>
      </c>
      <c r="D60" s="59" t="s">
        <v>1318</v>
      </c>
      <c r="E60" s="2" t="s">
        <v>1319</v>
      </c>
      <c r="F60" s="2">
        <v>2</v>
      </c>
      <c r="G60" s="1" t="s">
        <v>118</v>
      </c>
      <c r="H60" s="1"/>
      <c r="I60" s="1"/>
    </row>
    <row r="61" spans="1:10" ht="14.1">
      <c r="A61" s="342"/>
      <c r="B61" s="342"/>
      <c r="C61" s="46" t="s">
        <v>32</v>
      </c>
      <c r="D61" s="59" t="s">
        <v>1320</v>
      </c>
      <c r="E61" s="2" t="s">
        <v>1321</v>
      </c>
      <c r="F61" s="2">
        <v>3</v>
      </c>
      <c r="G61" s="1" t="s">
        <v>994</v>
      </c>
      <c r="H61" s="1" t="s">
        <v>118</v>
      </c>
      <c r="I61" s="1">
        <v>3</v>
      </c>
    </row>
    <row r="62" spans="1:10" ht="14.1">
      <c r="A62" s="342"/>
      <c r="B62" s="342"/>
      <c r="C62" s="46" t="s">
        <v>32</v>
      </c>
      <c r="D62" s="59" t="s">
        <v>1322</v>
      </c>
      <c r="E62" s="19" t="s">
        <v>1323</v>
      </c>
      <c r="F62" s="2">
        <v>1</v>
      </c>
      <c r="G62" s="1" t="s">
        <v>120</v>
      </c>
      <c r="H62" s="1" t="s">
        <v>121</v>
      </c>
      <c r="I62" s="1">
        <v>2</v>
      </c>
    </row>
    <row r="63" spans="1:10" ht="14.1">
      <c r="A63" s="342"/>
      <c r="B63" s="342"/>
      <c r="C63" s="50" t="s">
        <v>7</v>
      </c>
      <c r="D63" s="66" t="s">
        <v>1324</v>
      </c>
      <c r="E63" s="41" t="s">
        <v>1325</v>
      </c>
      <c r="F63" s="41">
        <v>5</v>
      </c>
      <c r="G63" s="1" t="s">
        <v>284</v>
      </c>
      <c r="H63" s="1"/>
      <c r="I63" s="1"/>
    </row>
    <row r="64" spans="1:10" ht="14.1">
      <c r="A64" s="342"/>
      <c r="B64" s="342"/>
      <c r="C64" s="50" t="s">
        <v>7</v>
      </c>
      <c r="D64" s="59" t="s">
        <v>1326</v>
      </c>
      <c r="E64" s="77" t="s">
        <v>1327</v>
      </c>
      <c r="F64" s="70">
        <v>3</v>
      </c>
      <c r="G64" s="1" t="s">
        <v>994</v>
      </c>
      <c r="H64" s="1" t="s">
        <v>121</v>
      </c>
      <c r="I64" s="1"/>
    </row>
    <row r="65" spans="1:10" ht="14.1">
      <c r="A65" s="342"/>
      <c r="B65" s="342"/>
      <c r="C65" s="71" t="s">
        <v>32</v>
      </c>
      <c r="D65" s="60" t="s">
        <v>1328</v>
      </c>
      <c r="E65" s="72" t="s">
        <v>1329</v>
      </c>
      <c r="F65" s="70">
        <v>1</v>
      </c>
      <c r="G65" s="73" t="s">
        <v>118</v>
      </c>
      <c r="H65" s="6"/>
      <c r="I65" s="6"/>
    </row>
    <row r="66" spans="1:10" ht="14.1">
      <c r="A66" s="342"/>
      <c r="B66" s="342"/>
      <c r="C66" s="71" t="s">
        <v>32</v>
      </c>
      <c r="D66" s="86" t="s">
        <v>1330</v>
      </c>
      <c r="E66" s="87" t="s">
        <v>1331</v>
      </c>
      <c r="F66" s="70">
        <v>2</v>
      </c>
      <c r="G66" s="88" t="s">
        <v>120</v>
      </c>
      <c r="H66" s="65"/>
      <c r="I66" s="65">
        <v>5</v>
      </c>
    </row>
    <row r="67" spans="1:10" ht="14.1">
      <c r="A67" s="412" t="s">
        <v>300</v>
      </c>
      <c r="B67" s="317" t="s">
        <v>1332</v>
      </c>
      <c r="C67" s="71" t="s">
        <v>32</v>
      </c>
      <c r="D67" s="60" t="s">
        <v>1328</v>
      </c>
      <c r="E67" s="92" t="s">
        <v>1329</v>
      </c>
      <c r="F67" s="70">
        <v>1</v>
      </c>
      <c r="G67" s="73" t="s">
        <v>118</v>
      </c>
      <c r="H67" s="65"/>
      <c r="I67" s="65"/>
    </row>
    <row r="68" spans="1:10" ht="14.1">
      <c r="A68" s="413"/>
      <c r="B68" s="317"/>
      <c r="C68" s="71" t="s">
        <v>32</v>
      </c>
      <c r="D68" s="86" t="s">
        <v>1330</v>
      </c>
      <c r="E68" s="93" t="s">
        <v>1331</v>
      </c>
      <c r="F68" s="70">
        <v>2</v>
      </c>
      <c r="G68" s="88" t="s">
        <v>120</v>
      </c>
      <c r="H68" s="65"/>
      <c r="I68" s="65"/>
    </row>
    <row r="69" spans="1:10" ht="14.1">
      <c r="A69" s="413"/>
      <c r="B69" s="317"/>
      <c r="C69" s="46" t="s">
        <v>32</v>
      </c>
      <c r="D69" s="66" t="s">
        <v>1312</v>
      </c>
      <c r="E69" s="94" t="s">
        <v>1313</v>
      </c>
      <c r="F69" s="2">
        <v>2</v>
      </c>
      <c r="G69" s="1" t="s">
        <v>994</v>
      </c>
      <c r="H69" s="1" t="s">
        <v>1333</v>
      </c>
      <c r="I69" s="65"/>
    </row>
    <row r="70" spans="1:10" ht="27.95">
      <c r="A70" s="413"/>
      <c r="B70" s="317"/>
      <c r="C70" s="37" t="s">
        <v>7</v>
      </c>
      <c r="D70" s="68" t="s">
        <v>1334</v>
      </c>
      <c r="E70" s="98" t="s">
        <v>1335</v>
      </c>
      <c r="F70" s="12"/>
      <c r="G70" s="36" t="s">
        <v>120</v>
      </c>
      <c r="H70" s="36"/>
      <c r="I70" s="65">
        <v>12</v>
      </c>
      <c r="J70" t="s">
        <v>1172</v>
      </c>
    </row>
    <row r="71" spans="1:10" ht="14.1">
      <c r="A71" s="413"/>
      <c r="B71" s="317"/>
      <c r="C71" s="37" t="s">
        <v>243</v>
      </c>
      <c r="D71" s="68" t="s">
        <v>1336</v>
      </c>
      <c r="E71" s="97" t="s">
        <v>1337</v>
      </c>
      <c r="F71" s="12"/>
      <c r="G71" s="36" t="s">
        <v>994</v>
      </c>
      <c r="H71" s="36"/>
      <c r="I71" s="65">
        <v>9</v>
      </c>
    </row>
    <row r="72" spans="1:10" ht="14.1">
      <c r="A72" s="413"/>
      <c r="B72" s="317"/>
      <c r="C72" s="71" t="s">
        <v>7</v>
      </c>
      <c r="D72" s="86" t="s">
        <v>1338</v>
      </c>
      <c r="E72" s="91" t="s">
        <v>1339</v>
      </c>
      <c r="F72" s="70"/>
      <c r="G72" s="103" t="s">
        <v>994</v>
      </c>
      <c r="H72" s="65"/>
      <c r="I72" s="65"/>
      <c r="J72" t="s">
        <v>1172</v>
      </c>
    </row>
    <row r="73" spans="1:10" ht="14.1">
      <c r="A73" s="413"/>
      <c r="B73" s="317"/>
      <c r="C73" s="71" t="s">
        <v>7</v>
      </c>
      <c r="D73" s="86" t="s">
        <v>1340</v>
      </c>
      <c r="E73" s="70" t="s">
        <v>1341</v>
      </c>
      <c r="F73" s="70"/>
      <c r="G73" s="88"/>
      <c r="H73" s="65"/>
      <c r="I73" s="65"/>
      <c r="J73" t="s">
        <v>1342</v>
      </c>
    </row>
    <row r="74" spans="1:10" ht="14.85" customHeight="1">
      <c r="A74" s="413"/>
      <c r="B74" s="317"/>
      <c r="C74" s="74" t="s">
        <v>32</v>
      </c>
      <c r="D74" s="9" t="s">
        <v>1343</v>
      </c>
      <c r="E74" s="95" t="s">
        <v>1344</v>
      </c>
      <c r="F74" s="9">
        <v>3</v>
      </c>
      <c r="G74" s="49" t="s">
        <v>118</v>
      </c>
      <c r="H74" s="49"/>
      <c r="I74" s="49"/>
    </row>
    <row r="75" spans="1:10" ht="14.1">
      <c r="A75" s="413"/>
      <c r="B75" s="317"/>
      <c r="C75" s="46" t="s">
        <v>32</v>
      </c>
      <c r="D75" s="2" t="s">
        <v>1345</v>
      </c>
      <c r="E75" s="24" t="s">
        <v>1346</v>
      </c>
      <c r="F75" s="2">
        <v>3</v>
      </c>
      <c r="G75" s="1" t="s">
        <v>120</v>
      </c>
      <c r="H75" s="1"/>
      <c r="I75" s="1">
        <v>21</v>
      </c>
    </row>
    <row r="76" spans="1:10" ht="14.1">
      <c r="A76" s="413"/>
      <c r="B76" s="317"/>
      <c r="C76" s="46" t="s">
        <v>32</v>
      </c>
      <c r="D76" s="2" t="s">
        <v>1347</v>
      </c>
      <c r="E76" s="24" t="s">
        <v>1348</v>
      </c>
      <c r="F76" s="2">
        <v>5</v>
      </c>
      <c r="G76" s="1" t="s">
        <v>120</v>
      </c>
      <c r="H76" s="1"/>
      <c r="I76" s="1">
        <v>16</v>
      </c>
    </row>
    <row r="77" spans="1:10" ht="14.1">
      <c r="A77" s="413"/>
      <c r="B77" s="317"/>
      <c r="C77" s="46" t="s">
        <v>32</v>
      </c>
      <c r="D77" s="82" t="s">
        <v>1349</v>
      </c>
      <c r="E77" s="24" t="s">
        <v>1350</v>
      </c>
      <c r="F77" s="2">
        <v>5</v>
      </c>
      <c r="G77" s="1" t="s">
        <v>120</v>
      </c>
      <c r="H77" s="1"/>
      <c r="I77" s="1">
        <v>8</v>
      </c>
    </row>
    <row r="78" spans="1:10" ht="14.1">
      <c r="A78" s="413"/>
      <c r="B78" s="317"/>
      <c r="C78" s="41" t="s">
        <v>7</v>
      </c>
      <c r="D78" s="69" t="s">
        <v>1307</v>
      </c>
      <c r="E78" s="100" t="s">
        <v>1308</v>
      </c>
      <c r="F78" s="84"/>
      <c r="G78" s="1" t="s">
        <v>118</v>
      </c>
      <c r="H78" s="1"/>
      <c r="I78" s="1"/>
      <c r="J78" t="s">
        <v>1172</v>
      </c>
    </row>
    <row r="79" spans="1:10" ht="14.1">
      <c r="A79" s="413"/>
      <c r="B79" s="317"/>
      <c r="C79" s="44" t="s">
        <v>7</v>
      </c>
      <c r="D79" s="83" t="s">
        <v>1351</v>
      </c>
      <c r="E79" s="100" t="s">
        <v>1352</v>
      </c>
      <c r="F79" s="84">
        <v>2</v>
      </c>
      <c r="G79" s="101" t="s">
        <v>121</v>
      </c>
      <c r="H79" s="1" t="s">
        <v>1353</v>
      </c>
      <c r="I79" s="1"/>
      <c r="J79" t="s">
        <v>1172</v>
      </c>
    </row>
    <row r="80" spans="1:10" ht="14.1">
      <c r="A80" s="413"/>
      <c r="B80" s="317"/>
      <c r="C80" s="44" t="s">
        <v>7</v>
      </c>
      <c r="D80" s="83" t="s">
        <v>1354</v>
      </c>
      <c r="E80" s="100" t="s">
        <v>1355</v>
      </c>
      <c r="F80" s="84"/>
      <c r="G80" s="1" t="s">
        <v>994</v>
      </c>
      <c r="H80" s="1" t="s">
        <v>1356</v>
      </c>
      <c r="I80" s="1">
        <v>9</v>
      </c>
      <c r="J80" t="s">
        <v>1172</v>
      </c>
    </row>
    <row r="81" spans="1:10" ht="14.1">
      <c r="A81" s="413"/>
      <c r="B81" s="317"/>
      <c r="C81" s="44" t="s">
        <v>7</v>
      </c>
      <c r="D81" s="85" t="s">
        <v>1357</v>
      </c>
      <c r="E81" s="100" t="s">
        <v>1358</v>
      </c>
      <c r="F81" s="84"/>
      <c r="G81" s="1" t="s">
        <v>284</v>
      </c>
      <c r="H81" s="1"/>
      <c r="I81" s="1"/>
    </row>
    <row r="82" spans="1:10" ht="14.1">
      <c r="A82" s="413"/>
      <c r="B82" s="317"/>
      <c r="C82" s="44" t="s">
        <v>7</v>
      </c>
      <c r="D82" s="85" t="s">
        <v>1359</v>
      </c>
      <c r="E82" s="96" t="s">
        <v>1360</v>
      </c>
      <c r="F82" s="84"/>
      <c r="G82" s="1" t="s">
        <v>284</v>
      </c>
      <c r="H82" s="1"/>
      <c r="I82" s="1"/>
    </row>
    <row r="83" spans="1:10" ht="14.1">
      <c r="A83" s="414"/>
      <c r="B83" s="317"/>
      <c r="C83" s="62" t="s">
        <v>7</v>
      </c>
      <c r="D83" s="63" t="s">
        <v>1361</v>
      </c>
      <c r="E83" s="99" t="s">
        <v>1362</v>
      </c>
      <c r="F83" s="64">
        <v>2</v>
      </c>
      <c r="G83" s="102" t="s">
        <v>120</v>
      </c>
      <c r="H83" s="65"/>
      <c r="I83" s="65"/>
      <c r="J83" t="s">
        <v>1172</v>
      </c>
    </row>
    <row r="84" spans="1:10" ht="14.1">
      <c r="A84" s="1"/>
      <c r="B84" s="49"/>
      <c r="C84" s="79" t="s">
        <v>32</v>
      </c>
      <c r="D84" s="80" t="s">
        <v>1363</v>
      </c>
      <c r="E84" s="80" t="s">
        <v>1364</v>
      </c>
      <c r="F84" s="80">
        <v>5</v>
      </c>
      <c r="G84" s="81" t="s">
        <v>120</v>
      </c>
      <c r="H84" s="81" t="s">
        <v>121</v>
      </c>
      <c r="I84" s="1"/>
    </row>
    <row r="85" spans="1:10" ht="14.1">
      <c r="A85" s="1"/>
      <c r="B85" s="1"/>
      <c r="C85" s="50" t="s">
        <v>7</v>
      </c>
      <c r="D85" s="89" t="s">
        <v>1365</v>
      </c>
      <c r="E85" s="84" t="s">
        <v>1366</v>
      </c>
      <c r="F85" s="84">
        <v>2</v>
      </c>
      <c r="G85" s="1"/>
      <c r="H85" s="1"/>
      <c r="I85" s="1"/>
    </row>
    <row r="86" spans="1:10" ht="15" customHeight="1">
      <c r="A86" s="1"/>
      <c r="B86" s="1"/>
      <c r="C86" s="40" t="s">
        <v>7</v>
      </c>
      <c r="D86" s="90" t="s">
        <v>1152</v>
      </c>
      <c r="E86" s="9" t="s">
        <v>1367</v>
      </c>
      <c r="F86" s="51">
        <v>3</v>
      </c>
      <c r="G86" s="1"/>
      <c r="H86" s="1"/>
      <c r="I86" s="1"/>
    </row>
    <row r="87" spans="1:10" ht="15" customHeight="1">
      <c r="A87" s="1"/>
      <c r="B87" s="1"/>
      <c r="C87" s="1"/>
      <c r="D87" s="1"/>
      <c r="E87" s="1"/>
      <c r="F87" s="1"/>
      <c r="G87" s="1"/>
      <c r="H87" s="1"/>
      <c r="I87" s="1"/>
    </row>
    <row r="88" spans="1:10" ht="15" customHeight="1">
      <c r="A88" s="1"/>
      <c r="B88" s="1"/>
      <c r="C88" s="1"/>
      <c r="D88" s="1"/>
      <c r="E88" s="1"/>
      <c r="F88" s="1"/>
      <c r="G88" s="1"/>
      <c r="H88" s="1"/>
      <c r="I88" s="1"/>
    </row>
    <row r="89" spans="1:10" ht="15" customHeight="1">
      <c r="A89" s="1"/>
      <c r="B89" s="1"/>
      <c r="C89" s="1"/>
      <c r="D89" s="1"/>
      <c r="E89" s="1"/>
      <c r="F89" s="1"/>
      <c r="G89" s="1"/>
      <c r="H89" s="1"/>
      <c r="I89" s="1"/>
    </row>
    <row r="90" spans="1:10" ht="15" customHeight="1">
      <c r="A90" s="1"/>
      <c r="B90" s="1"/>
      <c r="C90" s="1"/>
      <c r="D90" s="1"/>
      <c r="E90" s="1"/>
      <c r="F90" s="1"/>
      <c r="G90" s="1"/>
      <c r="H90" s="1"/>
      <c r="I90" s="1"/>
    </row>
    <row r="91" spans="1:10" ht="15" customHeight="1">
      <c r="A91" s="1"/>
      <c r="B91" s="1"/>
      <c r="C91" s="1"/>
      <c r="D91" s="1"/>
      <c r="E91" s="1"/>
      <c r="F91" s="1"/>
      <c r="G91" s="1"/>
      <c r="H91" s="1"/>
      <c r="I91" s="1"/>
    </row>
    <row r="92" spans="1:10" ht="15" customHeight="1">
      <c r="A92" s="1"/>
      <c r="B92" s="1"/>
      <c r="C92" s="1"/>
      <c r="D92" s="1"/>
      <c r="E92" s="1"/>
      <c r="F92" s="1"/>
      <c r="G92" s="1"/>
      <c r="H92" s="1"/>
      <c r="I92" s="1"/>
    </row>
    <row r="93" spans="1:10" ht="15" customHeight="1">
      <c r="A93" s="1"/>
      <c r="B93" s="1"/>
      <c r="C93" s="1"/>
      <c r="D93" s="1"/>
      <c r="E93" s="1"/>
      <c r="F93" s="1"/>
      <c r="G93" s="1"/>
      <c r="H93" s="1"/>
      <c r="I93" s="1"/>
    </row>
  </sheetData>
  <autoFilter ref="A1:K86" xr:uid="{4857D494-F6A5-498F-92B6-C2A0B2B43950}"/>
  <mergeCells count="12">
    <mergeCell ref="A67:A83"/>
    <mergeCell ref="B67:B83"/>
    <mergeCell ref="A2:A15"/>
    <mergeCell ref="A16:A27"/>
    <mergeCell ref="A48:A56"/>
    <mergeCell ref="A28:A47"/>
    <mergeCell ref="A57:A66"/>
    <mergeCell ref="B2:B15"/>
    <mergeCell ref="B16:B27"/>
    <mergeCell ref="B48:B56"/>
    <mergeCell ref="B28:B47"/>
    <mergeCell ref="B57:B66"/>
  </mergeCells>
  <hyperlinks>
    <hyperlink ref="D5" r:id="rId1" xr:uid="{554ABA9C-FF7E-46F6-8C40-BDD123DA42D6}"/>
    <hyperlink ref="D6" r:id="rId2" xr:uid="{6910E447-FA1D-468B-BD76-2DE4926112E2}"/>
    <hyperlink ref="D7" r:id="rId3" xr:uid="{6180703C-DD74-472C-AF4F-B2FCEAE9CDBD}"/>
    <hyperlink ref="D8" r:id="rId4" xr:uid="{964F8715-E4BE-428F-A5AA-2D7FBE304359}"/>
    <hyperlink ref="D9" r:id="rId5" xr:uid="{BE49865F-B2E4-4FE6-BCA3-BA05D528C7BA}"/>
    <hyperlink ref="D10" r:id="rId6" xr:uid="{F04EE9AD-CD22-4032-B57D-24F372BE4B0B}"/>
    <hyperlink ref="D11" r:id="rId7" xr:uid="{D63A9FC1-DE23-4721-A54E-DEFFE5E0A9A0}"/>
    <hyperlink ref="D12" r:id="rId8" xr:uid="{B4DE54B1-B685-4C73-91B6-1CF2B2F25C1D}"/>
    <hyperlink ref="D13" r:id="rId9" xr:uid="{1C1E396A-17C3-4321-9EBA-2EE7495BFFC1}"/>
    <hyperlink ref="D14" r:id="rId10" xr:uid="{52E10E34-B298-462A-8EFE-7D729C1BCC39}"/>
    <hyperlink ref="D15" r:id="rId11" xr:uid="{1E331D11-E9C6-4160-8147-0065AF8918BA}"/>
    <hyperlink ref="D24" r:id="rId12" xr:uid="{D4394C27-0230-4461-8223-EAD52F7F0252}"/>
    <hyperlink ref="D25" r:id="rId13" xr:uid="{65D266E0-BC87-458C-9469-40BC572A0DD9}"/>
    <hyperlink ref="D26" r:id="rId14" xr:uid="{8CDFFB1B-E980-43BE-866E-4AB8AEDD3847}"/>
    <hyperlink ref="D27" r:id="rId15" xr:uid="{73824353-1BA5-4622-8E28-98B4C6B7466F}"/>
    <hyperlink ref="D42" r:id="rId16" xr:uid="{6760C130-56D1-4F6D-9944-7F462E2E3E49}"/>
    <hyperlink ref="D43" r:id="rId17" xr:uid="{665B71E7-90B1-406A-871F-30E71B287736}"/>
    <hyperlink ref="D44" r:id="rId18" xr:uid="{4ADF81EC-511F-4A87-9812-C59E393FB895}"/>
    <hyperlink ref="D47" r:id="rId19" xr:uid="{16AAE8C8-D2A3-45E8-A128-AE1A9B4F67D3}"/>
    <hyperlink ref="D64" r:id="rId20" xr:uid="{A3E78EC9-856C-4EE9-98FC-E56F94054571}"/>
    <hyperlink ref="D83" r:id="rId21" xr:uid="{F3833782-90A9-4DDC-988F-09BD23FFBAB6}"/>
    <hyperlink ref="D40" r:id="rId22" display="https://jira.wiley.com/browse/CT-8333" xr:uid="{20AB7DCB-CF31-4EF1-BA30-1EAEB1578563}"/>
    <hyperlink ref="D41" r:id="rId23" display="https://jira.wiley.com/browse/CT-7873" xr:uid="{5720B4FD-6B41-4B71-8112-ED92A8F0CD9B}"/>
    <hyperlink ref="D39" r:id="rId24" display="https://jira.wiley.com/browse/CT-7715" xr:uid="{A9D74E23-F263-4034-906F-3DD19936CFE8}"/>
    <hyperlink ref="D63" r:id="rId25" display="https://jira.wiley.com/browse/CT-8345" xr:uid="{266C0BF3-A6C7-49DB-B329-795E6A98DB03}"/>
    <hyperlink ref="D85" r:id="rId26" display="https://jira.wiley.com/browse/CT-8391" xr:uid="{38567B35-C942-40BA-9DAE-1562DF618965}"/>
    <hyperlink ref="D86" r:id="rId27" display="https://jira.wiley.com/browse/CT-8139" xr:uid="{7B4C60CD-04F7-45BB-8DA9-31835866AA65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C87B4-2E50-4E3E-8B9D-0658B852BEEB}">
  <sheetPr codeName="Sheet10"/>
  <dimension ref="A1:L75"/>
  <sheetViews>
    <sheetView zoomScale="115" zoomScaleNormal="115" workbookViewId="0">
      <pane ySplit="1" topLeftCell="A3" activePane="bottomLeft" state="frozen"/>
      <selection pane="bottomLeft" activeCell="B44" sqref="B44"/>
    </sheetView>
  </sheetViews>
  <sheetFormatPr defaultRowHeight="14.1"/>
  <cols>
    <col min="1" max="1" width="12.375" customWidth="1"/>
    <col min="2" max="2" width="8.375" customWidth="1"/>
    <col min="3" max="3" width="78.375" customWidth="1"/>
    <col min="4" max="4" width="8.375" bestFit="1" customWidth="1"/>
    <col min="5" max="5" width="10.375" customWidth="1"/>
    <col min="6" max="6" width="12.375" bestFit="1" customWidth="1"/>
    <col min="7" max="7" width="10.375" customWidth="1"/>
    <col min="9" max="9" width="6.375" bestFit="1" customWidth="1"/>
    <col min="10" max="10" width="13.375" customWidth="1"/>
    <col min="11" max="11" width="8.375" bestFit="1" customWidth="1"/>
    <col min="12" max="12" width="13" customWidth="1"/>
  </cols>
  <sheetData>
    <row r="1" spans="1:12" ht="27.95">
      <c r="A1" s="10" t="s">
        <v>50</v>
      </c>
      <c r="B1" s="11" t="s">
        <v>110</v>
      </c>
      <c r="C1" s="10" t="s">
        <v>111</v>
      </c>
      <c r="D1" s="10" t="s">
        <v>466</v>
      </c>
      <c r="E1" s="10" t="s">
        <v>3</v>
      </c>
      <c r="F1" s="4" t="s">
        <v>789</v>
      </c>
      <c r="G1" s="4" t="s">
        <v>5</v>
      </c>
      <c r="I1" s="5" t="s">
        <v>50</v>
      </c>
      <c r="J1" s="4" t="s">
        <v>1368</v>
      </c>
      <c r="K1" s="3" t="s">
        <v>1369</v>
      </c>
      <c r="L1" s="3" t="s">
        <v>1370</v>
      </c>
    </row>
    <row r="2" spans="1:12">
      <c r="A2" s="423" t="s">
        <v>1371</v>
      </c>
      <c r="B2" s="7" t="s">
        <v>1372</v>
      </c>
      <c r="C2" s="17" t="s">
        <v>1373</v>
      </c>
      <c r="D2" s="17">
        <v>1</v>
      </c>
      <c r="E2" s="17" t="s">
        <v>121</v>
      </c>
      <c r="F2" s="17">
        <v>3</v>
      </c>
      <c r="G2" s="17"/>
      <c r="I2" s="344" t="s">
        <v>116</v>
      </c>
      <c r="J2" s="409" t="s">
        <v>1374</v>
      </c>
      <c r="K2" s="1" t="s">
        <v>994</v>
      </c>
      <c r="L2" s="1" t="s">
        <v>1375</v>
      </c>
    </row>
    <row r="3" spans="1:12" ht="27.95">
      <c r="A3" s="424"/>
      <c r="B3" s="14" t="s">
        <v>1376</v>
      </c>
      <c r="C3" s="17" t="s">
        <v>1377</v>
      </c>
      <c r="D3" s="17">
        <v>1</v>
      </c>
      <c r="E3" s="17" t="s">
        <v>119</v>
      </c>
      <c r="F3" s="17">
        <v>3</v>
      </c>
      <c r="G3" s="17"/>
      <c r="I3" s="344"/>
      <c r="J3" s="410"/>
      <c r="K3" s="1" t="s">
        <v>120</v>
      </c>
      <c r="L3" s="1" t="s">
        <v>1375</v>
      </c>
    </row>
    <row r="4" spans="1:12">
      <c r="A4" s="13"/>
      <c r="B4" s="12" t="s">
        <v>1378</v>
      </c>
      <c r="C4" s="17" t="s">
        <v>1379</v>
      </c>
      <c r="D4" s="17"/>
      <c r="E4" s="17" t="s">
        <v>119</v>
      </c>
      <c r="F4" s="17">
        <v>3</v>
      </c>
      <c r="G4" s="17"/>
      <c r="I4" s="344"/>
      <c r="J4" s="410"/>
      <c r="K4" s="1"/>
      <c r="L4" s="1"/>
    </row>
    <row r="5" spans="1:12">
      <c r="A5" s="420" t="s">
        <v>467</v>
      </c>
      <c r="B5" s="9" t="s">
        <v>1380</v>
      </c>
      <c r="C5" s="20" t="s">
        <v>1381</v>
      </c>
      <c r="D5" s="17">
        <v>5</v>
      </c>
      <c r="E5" s="17" t="s">
        <v>119</v>
      </c>
      <c r="F5" s="17">
        <v>17</v>
      </c>
      <c r="G5" s="17"/>
      <c r="I5" s="344"/>
      <c r="J5" s="410"/>
      <c r="K5" s="1" t="s">
        <v>121</v>
      </c>
      <c r="L5" s="1" t="s">
        <v>1382</v>
      </c>
    </row>
    <row r="6" spans="1:12">
      <c r="A6" s="421"/>
      <c r="B6" s="2" t="s">
        <v>1383</v>
      </c>
      <c r="C6" s="17" t="s">
        <v>1384</v>
      </c>
      <c r="D6" s="17">
        <v>2</v>
      </c>
      <c r="E6" s="17" t="s">
        <v>119</v>
      </c>
      <c r="F6" s="17">
        <v>9</v>
      </c>
      <c r="G6" s="17"/>
      <c r="I6" s="340"/>
      <c r="J6" s="410"/>
      <c r="K6" s="6" t="s">
        <v>118</v>
      </c>
      <c r="L6" s="6" t="s">
        <v>1375</v>
      </c>
    </row>
    <row r="7" spans="1:12">
      <c r="A7" s="421"/>
      <c r="B7" s="2" t="s">
        <v>1385</v>
      </c>
      <c r="C7" s="17" t="s">
        <v>1386</v>
      </c>
      <c r="D7" s="17">
        <v>2</v>
      </c>
      <c r="E7" s="17" t="s">
        <v>121</v>
      </c>
      <c r="F7" s="17">
        <v>64</v>
      </c>
      <c r="G7" s="17"/>
      <c r="I7" s="344" t="s">
        <v>122</v>
      </c>
      <c r="J7" s="409" t="s">
        <v>1387</v>
      </c>
      <c r="K7" s="1" t="s">
        <v>994</v>
      </c>
      <c r="L7" s="1" t="s">
        <v>1375</v>
      </c>
    </row>
    <row r="8" spans="1:12">
      <c r="A8" s="421"/>
      <c r="B8" s="2" t="s">
        <v>1388</v>
      </c>
      <c r="C8" s="20" t="s">
        <v>1389</v>
      </c>
      <c r="D8" s="17">
        <v>3</v>
      </c>
      <c r="E8" s="17" t="s">
        <v>120</v>
      </c>
      <c r="F8" s="17">
        <v>29</v>
      </c>
      <c r="G8" s="17"/>
      <c r="I8" s="344"/>
      <c r="J8" s="410"/>
      <c r="K8" s="1" t="s">
        <v>120</v>
      </c>
      <c r="L8" s="1" t="s">
        <v>1375</v>
      </c>
    </row>
    <row r="9" spans="1:12">
      <c r="A9" s="421"/>
      <c r="B9" s="2" t="s">
        <v>1390</v>
      </c>
      <c r="C9" s="17" t="s">
        <v>1391</v>
      </c>
      <c r="D9" s="17">
        <v>2</v>
      </c>
      <c r="E9" s="17" t="s">
        <v>120</v>
      </c>
      <c r="F9" s="17">
        <v>11</v>
      </c>
      <c r="G9" s="17"/>
      <c r="I9" s="344"/>
      <c r="J9" s="410"/>
      <c r="K9" s="1" t="s">
        <v>121</v>
      </c>
      <c r="L9" s="1" t="s">
        <v>1382</v>
      </c>
    </row>
    <row r="10" spans="1:12">
      <c r="A10" s="422"/>
      <c r="B10" s="8" t="s">
        <v>1392</v>
      </c>
      <c r="C10" s="17" t="s">
        <v>1393</v>
      </c>
      <c r="D10" s="17">
        <v>2</v>
      </c>
      <c r="E10" s="17" t="s">
        <v>120</v>
      </c>
      <c r="F10" s="17">
        <v>16</v>
      </c>
      <c r="G10" s="17"/>
      <c r="I10" s="340"/>
      <c r="J10" s="410"/>
      <c r="K10" s="6" t="s">
        <v>118</v>
      </c>
      <c r="L10" s="6" t="s">
        <v>1375</v>
      </c>
    </row>
    <row r="11" spans="1:12">
      <c r="A11" s="428" t="s">
        <v>122</v>
      </c>
      <c r="B11" s="9" t="s">
        <v>1394</v>
      </c>
      <c r="C11" s="20" t="s">
        <v>1395</v>
      </c>
      <c r="D11" s="17">
        <v>2</v>
      </c>
      <c r="E11" s="17" t="s">
        <v>119</v>
      </c>
      <c r="F11" s="17">
        <v>15</v>
      </c>
      <c r="G11" s="17"/>
      <c r="I11" s="344" t="s">
        <v>156</v>
      </c>
      <c r="J11" s="409" t="s">
        <v>1396</v>
      </c>
      <c r="K11" s="1" t="s">
        <v>994</v>
      </c>
      <c r="L11" s="1" t="s">
        <v>1375</v>
      </c>
    </row>
    <row r="12" spans="1:12">
      <c r="A12" s="428"/>
      <c r="B12" s="9" t="s">
        <v>1397</v>
      </c>
      <c r="C12" s="17" t="s">
        <v>1398</v>
      </c>
      <c r="D12" s="17"/>
      <c r="E12" s="17" t="s">
        <v>119</v>
      </c>
      <c r="F12" s="17">
        <v>2</v>
      </c>
      <c r="G12" s="17"/>
      <c r="I12" s="344"/>
      <c r="J12" s="410"/>
      <c r="K12" s="1"/>
      <c r="L12" s="1"/>
    </row>
    <row r="13" spans="1:12">
      <c r="A13" s="428"/>
      <c r="B13" s="2" t="s">
        <v>1399</v>
      </c>
      <c r="C13" s="20" t="s">
        <v>1400</v>
      </c>
      <c r="D13" s="17">
        <v>2</v>
      </c>
      <c r="E13" s="17" t="s">
        <v>120</v>
      </c>
      <c r="F13" s="17">
        <v>29</v>
      </c>
      <c r="G13" s="17"/>
      <c r="I13" s="344"/>
      <c r="J13" s="410"/>
      <c r="K13" s="1" t="s">
        <v>120</v>
      </c>
      <c r="L13" s="1" t="s">
        <v>1375</v>
      </c>
    </row>
    <row r="14" spans="1:12">
      <c r="A14" s="428"/>
      <c r="B14" s="2" t="s">
        <v>1401</v>
      </c>
      <c r="C14" s="17" t="s">
        <v>1402</v>
      </c>
      <c r="D14" s="17">
        <v>1</v>
      </c>
      <c r="E14" s="17" t="s">
        <v>121</v>
      </c>
      <c r="F14" s="17">
        <v>46</v>
      </c>
      <c r="G14" s="17"/>
      <c r="I14" s="344"/>
      <c r="J14" s="410"/>
      <c r="K14" s="1" t="s">
        <v>121</v>
      </c>
      <c r="L14" s="1" t="s">
        <v>1403</v>
      </c>
    </row>
    <row r="15" spans="1:12">
      <c r="A15" s="428"/>
      <c r="B15" s="2" t="s">
        <v>1404</v>
      </c>
      <c r="C15" s="17" t="s">
        <v>1405</v>
      </c>
      <c r="D15" s="17">
        <v>1</v>
      </c>
      <c r="E15" s="17" t="s">
        <v>121</v>
      </c>
      <c r="F15" s="17">
        <v>19</v>
      </c>
      <c r="G15" s="17"/>
      <c r="I15" s="340"/>
      <c r="J15" s="410"/>
      <c r="K15" s="6" t="s">
        <v>118</v>
      </c>
      <c r="L15" s="6" t="s">
        <v>1375</v>
      </c>
    </row>
    <row r="16" spans="1:12">
      <c r="A16" s="428"/>
      <c r="B16" s="2" t="s">
        <v>1406</v>
      </c>
      <c r="C16" s="17" t="s">
        <v>1407</v>
      </c>
      <c r="D16" s="17">
        <v>3</v>
      </c>
      <c r="E16" s="17" t="s">
        <v>119</v>
      </c>
      <c r="F16" s="17">
        <v>2</v>
      </c>
      <c r="G16" s="17"/>
      <c r="I16" s="300" t="s">
        <v>256</v>
      </c>
      <c r="J16" s="300" t="s">
        <v>1408</v>
      </c>
      <c r="K16" s="1" t="s">
        <v>994</v>
      </c>
      <c r="L16" s="1"/>
    </row>
    <row r="17" spans="1:12">
      <c r="A17" s="428"/>
      <c r="B17" s="2" t="s">
        <v>1409</v>
      </c>
      <c r="C17" s="17" t="s">
        <v>1410</v>
      </c>
      <c r="D17" s="17">
        <v>2</v>
      </c>
      <c r="E17" s="17" t="s">
        <v>119</v>
      </c>
      <c r="F17" s="17">
        <v>10</v>
      </c>
      <c r="G17" s="17"/>
      <c r="I17" s="301"/>
      <c r="J17" s="301"/>
      <c r="K17" s="1" t="s">
        <v>120</v>
      </c>
      <c r="L17" s="1"/>
    </row>
    <row r="18" spans="1:12">
      <c r="A18" s="428"/>
      <c r="B18" s="2" t="s">
        <v>1411</v>
      </c>
      <c r="C18" s="17" t="s">
        <v>1412</v>
      </c>
      <c r="D18" s="17">
        <v>3</v>
      </c>
      <c r="E18" s="17" t="s">
        <v>120</v>
      </c>
      <c r="F18" s="17">
        <v>6</v>
      </c>
      <c r="G18" s="17"/>
      <c r="I18" s="301"/>
      <c r="J18" s="301"/>
      <c r="K18" s="1" t="s">
        <v>121</v>
      </c>
      <c r="L18" s="1"/>
    </row>
    <row r="19" spans="1:12">
      <c r="A19" s="428"/>
      <c r="B19" s="8" t="s">
        <v>1413</v>
      </c>
      <c r="C19" s="17" t="s">
        <v>1414</v>
      </c>
      <c r="D19" s="17">
        <v>2</v>
      </c>
      <c r="E19" s="17" t="s">
        <v>120</v>
      </c>
      <c r="F19" s="17">
        <v>2</v>
      </c>
      <c r="G19" s="17"/>
      <c r="I19" s="302"/>
      <c r="J19" s="302"/>
      <c r="K19" s="1" t="s">
        <v>118</v>
      </c>
      <c r="L19" s="1"/>
    </row>
    <row r="20" spans="1:12">
      <c r="A20" s="317" t="s">
        <v>156</v>
      </c>
      <c r="B20" s="15" t="s">
        <v>1415</v>
      </c>
      <c r="C20" s="17" t="s">
        <v>1416</v>
      </c>
      <c r="D20" s="17">
        <v>2</v>
      </c>
      <c r="E20" s="17" t="s">
        <v>119</v>
      </c>
      <c r="F20" s="17">
        <v>40</v>
      </c>
      <c r="G20" s="17" t="s">
        <v>1417</v>
      </c>
      <c r="I20" s="1"/>
      <c r="J20" s="1"/>
      <c r="K20" s="1"/>
      <c r="L20" s="1"/>
    </row>
    <row r="21" spans="1:12">
      <c r="A21" s="317"/>
      <c r="B21" s="16" t="s">
        <v>1418</v>
      </c>
      <c r="C21" s="17" t="s">
        <v>1419</v>
      </c>
      <c r="D21" s="17">
        <v>1</v>
      </c>
      <c r="E21" s="17" t="s">
        <v>119</v>
      </c>
      <c r="F21" s="17">
        <v>8</v>
      </c>
      <c r="G21" s="17" t="s">
        <v>1417</v>
      </c>
      <c r="I21" s="1"/>
      <c r="J21" s="1"/>
      <c r="K21" s="1"/>
      <c r="L21" s="1"/>
    </row>
    <row r="22" spans="1:12">
      <c r="A22" s="317"/>
      <c r="B22" s="16" t="s">
        <v>1420</v>
      </c>
      <c r="C22" s="17" t="s">
        <v>1421</v>
      </c>
      <c r="D22" s="17">
        <v>3</v>
      </c>
      <c r="E22" s="17" t="s">
        <v>120</v>
      </c>
      <c r="F22" s="17">
        <v>2</v>
      </c>
      <c r="G22" s="17"/>
      <c r="I22" s="1"/>
      <c r="J22" s="1"/>
      <c r="K22" s="1"/>
      <c r="L22" s="1"/>
    </row>
    <row r="23" spans="1:12">
      <c r="A23" s="317"/>
      <c r="B23" s="16" t="s">
        <v>1422</v>
      </c>
      <c r="C23" s="17" t="s">
        <v>1421</v>
      </c>
      <c r="D23" s="17">
        <v>1</v>
      </c>
      <c r="E23" s="17" t="s">
        <v>120</v>
      </c>
      <c r="F23" s="17">
        <v>2</v>
      </c>
      <c r="G23" s="17"/>
    </row>
    <row r="24" spans="1:12" ht="27.95">
      <c r="A24" s="317"/>
      <c r="B24" s="16" t="s">
        <v>1423</v>
      </c>
      <c r="C24" s="17" t="s">
        <v>1424</v>
      </c>
      <c r="D24" s="17">
        <v>1</v>
      </c>
      <c r="E24" s="17" t="s">
        <v>118</v>
      </c>
      <c r="F24" s="17">
        <v>22</v>
      </c>
      <c r="G24" s="17"/>
    </row>
    <row r="25" spans="1:12" ht="27.95">
      <c r="A25" s="317"/>
      <c r="B25" s="16" t="s">
        <v>1425</v>
      </c>
      <c r="C25" s="17" t="s">
        <v>1426</v>
      </c>
      <c r="D25" s="17">
        <v>1</v>
      </c>
      <c r="E25" s="17" t="s">
        <v>118</v>
      </c>
      <c r="F25" s="17">
        <v>26</v>
      </c>
      <c r="G25" s="17"/>
    </row>
    <row r="26" spans="1:12" ht="27.95">
      <c r="A26" s="317"/>
      <c r="B26" s="16" t="s">
        <v>1427</v>
      </c>
      <c r="C26" s="17" t="s">
        <v>1428</v>
      </c>
      <c r="D26" s="17">
        <v>1</v>
      </c>
      <c r="E26" s="17" t="s">
        <v>118</v>
      </c>
      <c r="F26" s="17">
        <v>38</v>
      </c>
      <c r="G26" s="17"/>
    </row>
    <row r="27" spans="1:12" ht="27.95">
      <c r="A27" s="317"/>
      <c r="B27" s="16" t="s">
        <v>1429</v>
      </c>
      <c r="C27" s="17" t="s">
        <v>1430</v>
      </c>
      <c r="D27" s="17">
        <v>1</v>
      </c>
      <c r="E27" s="17" t="s">
        <v>118</v>
      </c>
      <c r="F27" s="17">
        <v>20</v>
      </c>
      <c r="G27" s="17"/>
    </row>
    <row r="28" spans="1:12" ht="27.95">
      <c r="A28" s="317"/>
      <c r="B28" s="16" t="s">
        <v>1431</v>
      </c>
      <c r="C28" s="20" t="s">
        <v>1432</v>
      </c>
      <c r="D28" s="17">
        <v>1</v>
      </c>
      <c r="E28" s="17" t="s">
        <v>118</v>
      </c>
      <c r="F28" s="17">
        <v>8</v>
      </c>
      <c r="G28" s="17"/>
    </row>
    <row r="29" spans="1:12">
      <c r="A29" s="317"/>
      <c r="B29" s="16" t="s">
        <v>1433</v>
      </c>
      <c r="C29" s="17" t="s">
        <v>1434</v>
      </c>
      <c r="D29" s="17">
        <v>1</v>
      </c>
      <c r="E29" s="17" t="s">
        <v>120</v>
      </c>
      <c r="F29" s="17">
        <v>18</v>
      </c>
      <c r="G29" s="17"/>
    </row>
    <row r="30" spans="1:12">
      <c r="A30" s="317"/>
      <c r="B30" s="16" t="s">
        <v>1435</v>
      </c>
      <c r="C30" s="17" t="s">
        <v>1436</v>
      </c>
      <c r="D30" s="17">
        <v>2</v>
      </c>
      <c r="E30" s="17" t="s">
        <v>119</v>
      </c>
      <c r="F30" s="17">
        <v>9</v>
      </c>
      <c r="G30" s="17"/>
    </row>
    <row r="31" spans="1:12">
      <c r="A31" s="317"/>
      <c r="B31" s="16" t="s">
        <v>1437</v>
      </c>
      <c r="C31" s="17" t="s">
        <v>1438</v>
      </c>
      <c r="D31" s="17">
        <v>3</v>
      </c>
      <c r="E31" s="17" t="s">
        <v>119</v>
      </c>
      <c r="F31" s="17">
        <v>21</v>
      </c>
      <c r="G31" s="17"/>
    </row>
    <row r="32" spans="1:12">
      <c r="A32" s="317"/>
      <c r="B32" s="16" t="s">
        <v>1439</v>
      </c>
      <c r="C32" s="17" t="s">
        <v>1440</v>
      </c>
      <c r="D32" s="17">
        <v>2</v>
      </c>
      <c r="E32" s="17" t="s">
        <v>120</v>
      </c>
      <c r="F32" s="17">
        <v>4</v>
      </c>
      <c r="G32" s="17"/>
    </row>
    <row r="33" spans="1:7">
      <c r="A33" s="344"/>
      <c r="B33" s="12" t="s">
        <v>1441</v>
      </c>
      <c r="C33" s="17" t="s">
        <v>1442</v>
      </c>
      <c r="D33" s="17">
        <v>1</v>
      </c>
      <c r="E33" s="17" t="s">
        <v>120</v>
      </c>
      <c r="F33" s="17">
        <v>16</v>
      </c>
      <c r="G33" s="17"/>
    </row>
    <row r="34" spans="1:7">
      <c r="A34" s="429" t="s">
        <v>256</v>
      </c>
      <c r="B34" s="2" t="s">
        <v>1443</v>
      </c>
      <c r="C34" s="17" t="s">
        <v>1444</v>
      </c>
      <c r="D34" s="17">
        <v>3</v>
      </c>
      <c r="E34" s="17" t="s">
        <v>120</v>
      </c>
      <c r="F34" s="17">
        <v>9</v>
      </c>
      <c r="G34" s="17"/>
    </row>
    <row r="35" spans="1:7">
      <c r="A35" s="429"/>
      <c r="B35" s="2" t="s">
        <v>1445</v>
      </c>
      <c r="C35" s="17" t="s">
        <v>1446</v>
      </c>
      <c r="D35" s="17">
        <v>2</v>
      </c>
      <c r="E35" s="17" t="s">
        <v>120</v>
      </c>
      <c r="F35" s="17">
        <v>8</v>
      </c>
      <c r="G35" s="17"/>
    </row>
    <row r="36" spans="1:7">
      <c r="A36" s="429"/>
      <c r="B36" s="2" t="s">
        <v>1447</v>
      </c>
      <c r="C36" s="17" t="s">
        <v>1448</v>
      </c>
      <c r="D36" s="17">
        <v>3</v>
      </c>
      <c r="E36" s="17" t="s">
        <v>119</v>
      </c>
      <c r="F36" s="17">
        <v>32</v>
      </c>
      <c r="G36" s="17" t="s">
        <v>1417</v>
      </c>
    </row>
    <row r="37" spans="1:7">
      <c r="A37" s="429"/>
      <c r="B37" s="2" t="s">
        <v>1449</v>
      </c>
      <c r="C37" s="17" t="s">
        <v>1450</v>
      </c>
      <c r="D37" s="17">
        <v>2</v>
      </c>
      <c r="E37" s="17" t="s">
        <v>119</v>
      </c>
      <c r="F37" s="17">
        <v>33</v>
      </c>
      <c r="G37" s="17"/>
    </row>
    <row r="38" spans="1:7">
      <c r="A38" s="429"/>
      <c r="B38" s="2" t="s">
        <v>1451</v>
      </c>
      <c r="C38" s="17" t="s">
        <v>1452</v>
      </c>
      <c r="D38" s="17">
        <v>2</v>
      </c>
      <c r="E38" s="17" t="s">
        <v>119</v>
      </c>
      <c r="F38" s="17">
        <v>8</v>
      </c>
      <c r="G38" s="17"/>
    </row>
    <row r="39" spans="1:7">
      <c r="A39" s="429"/>
      <c r="B39" s="2" t="s">
        <v>1453</v>
      </c>
      <c r="C39" s="17" t="s">
        <v>1454</v>
      </c>
      <c r="D39" s="17">
        <v>5</v>
      </c>
      <c r="E39" s="17" t="s">
        <v>120</v>
      </c>
      <c r="F39" s="17">
        <v>21</v>
      </c>
      <c r="G39" s="17"/>
    </row>
    <row r="40" spans="1:7">
      <c r="A40" s="425" t="s">
        <v>278</v>
      </c>
      <c r="B40" s="2" t="s">
        <v>1455</v>
      </c>
      <c r="C40" s="17" t="s">
        <v>1456</v>
      </c>
      <c r="D40" s="17">
        <v>3</v>
      </c>
      <c r="E40" s="17" t="s">
        <v>118</v>
      </c>
      <c r="F40" s="17">
        <v>32</v>
      </c>
      <c r="G40" s="17"/>
    </row>
    <row r="41" spans="1:7">
      <c r="A41" s="426"/>
      <c r="B41" s="2" t="s">
        <v>1457</v>
      </c>
      <c r="C41" s="17" t="s">
        <v>1458</v>
      </c>
      <c r="D41" s="17">
        <v>1</v>
      </c>
      <c r="E41" s="17" t="s">
        <v>118</v>
      </c>
      <c r="F41" s="17">
        <v>3</v>
      </c>
      <c r="G41" s="17"/>
    </row>
    <row r="42" spans="1:7">
      <c r="A42" s="426"/>
      <c r="B42" s="2" t="s">
        <v>1459</v>
      </c>
      <c r="C42" s="17" t="s">
        <v>1460</v>
      </c>
      <c r="D42" s="17">
        <v>1</v>
      </c>
      <c r="E42" s="17" t="s">
        <v>118</v>
      </c>
      <c r="F42" s="17">
        <v>3</v>
      </c>
      <c r="G42" s="17"/>
    </row>
    <row r="43" spans="1:7">
      <c r="A43" s="426"/>
      <c r="B43" s="2" t="s">
        <v>1461</v>
      </c>
      <c r="C43" s="17" t="s">
        <v>1462</v>
      </c>
      <c r="D43" s="17">
        <v>1</v>
      </c>
      <c r="E43" s="17" t="s">
        <v>119</v>
      </c>
      <c r="F43" s="17">
        <v>3</v>
      </c>
      <c r="G43" s="17" t="s">
        <v>1417</v>
      </c>
    </row>
    <row r="44" spans="1:7">
      <c r="A44" s="426"/>
      <c r="B44" s="2" t="s">
        <v>1463</v>
      </c>
      <c r="C44" s="17" t="s">
        <v>1464</v>
      </c>
      <c r="D44" s="17">
        <v>1</v>
      </c>
      <c r="E44" s="17" t="s">
        <v>119</v>
      </c>
      <c r="F44" s="17">
        <v>3</v>
      </c>
      <c r="G44" s="17" t="s">
        <v>1417</v>
      </c>
    </row>
    <row r="45" spans="1:7">
      <c r="A45" s="426"/>
      <c r="B45" s="2" t="s">
        <v>1465</v>
      </c>
      <c r="C45" s="17" t="s">
        <v>1466</v>
      </c>
      <c r="D45" s="17">
        <v>1</v>
      </c>
      <c r="E45" s="17" t="s">
        <v>119</v>
      </c>
      <c r="F45" s="17">
        <v>3</v>
      </c>
      <c r="G45" s="17" t="s">
        <v>1417</v>
      </c>
    </row>
    <row r="46" spans="1:7">
      <c r="A46" s="426"/>
      <c r="B46" s="2" t="s">
        <v>1467</v>
      </c>
      <c r="C46" s="17" t="s">
        <v>1468</v>
      </c>
      <c r="D46" s="17">
        <v>2</v>
      </c>
      <c r="E46" s="17" t="s">
        <v>120</v>
      </c>
      <c r="F46" s="17">
        <v>0</v>
      </c>
      <c r="G46" s="17"/>
    </row>
    <row r="47" spans="1:7">
      <c r="A47" s="426"/>
      <c r="B47" s="2" t="s">
        <v>1469</v>
      </c>
      <c r="C47" s="17" t="s">
        <v>1470</v>
      </c>
      <c r="D47" s="17">
        <v>3</v>
      </c>
      <c r="E47" s="17" t="s">
        <v>120</v>
      </c>
      <c r="F47" s="17">
        <v>2</v>
      </c>
      <c r="G47" s="17"/>
    </row>
    <row r="48" spans="1:7">
      <c r="A48" s="426"/>
      <c r="B48" s="2" t="s">
        <v>1471</v>
      </c>
      <c r="C48" s="17" t="s">
        <v>1472</v>
      </c>
      <c r="D48" s="17">
        <v>3</v>
      </c>
      <c r="E48" s="17" t="s">
        <v>121</v>
      </c>
      <c r="F48" s="17">
        <v>14</v>
      </c>
      <c r="G48" s="17"/>
    </row>
    <row r="49" spans="1:12">
      <c r="A49" s="426"/>
      <c r="B49" s="1" t="s">
        <v>1473</v>
      </c>
      <c r="C49" s="17" t="s">
        <v>1474</v>
      </c>
      <c r="D49" s="17">
        <v>2</v>
      </c>
      <c r="E49" s="17" t="s">
        <v>120</v>
      </c>
      <c r="F49" s="17">
        <v>12</v>
      </c>
      <c r="G49" s="17"/>
    </row>
    <row r="50" spans="1:12" ht="27.95">
      <c r="A50" s="426"/>
      <c r="B50" s="1" t="s">
        <v>1475</v>
      </c>
      <c r="C50" s="17" t="s">
        <v>1476</v>
      </c>
      <c r="D50" s="17">
        <v>1</v>
      </c>
      <c r="E50" s="17" t="s">
        <v>120</v>
      </c>
      <c r="F50" s="17">
        <v>0</v>
      </c>
      <c r="G50" s="17"/>
    </row>
    <row r="51" spans="1:12">
      <c r="A51" s="427"/>
      <c r="B51" s="1" t="s">
        <v>1477</v>
      </c>
      <c r="C51" s="17" t="s">
        <v>1478</v>
      </c>
      <c r="D51" s="17">
        <v>1</v>
      </c>
      <c r="E51" s="17" t="s">
        <v>119</v>
      </c>
      <c r="F51" s="17">
        <v>4</v>
      </c>
      <c r="G51" s="17"/>
    </row>
    <row r="52" spans="1:12">
      <c r="A52" s="33" t="s">
        <v>767</v>
      </c>
      <c r="B52" s="6" t="s">
        <v>1479</v>
      </c>
      <c r="C52" s="20" t="s">
        <v>1480</v>
      </c>
      <c r="D52" s="17">
        <v>2</v>
      </c>
      <c r="E52" s="17" t="s">
        <v>118</v>
      </c>
      <c r="F52" s="17"/>
      <c r="G52" s="17"/>
    </row>
    <row r="53" spans="1:12">
      <c r="A53" s="1"/>
      <c r="B53" s="1"/>
      <c r="C53" s="2"/>
      <c r="D53" s="2"/>
      <c r="E53" s="2"/>
      <c r="F53" s="2"/>
      <c r="G53" s="2"/>
    </row>
    <row r="54" spans="1:12">
      <c r="A54" s="1"/>
      <c r="B54" s="1"/>
      <c r="C54" s="2"/>
      <c r="D54" s="2">
        <f>SUM(D2:D52)</f>
        <v>94</v>
      </c>
      <c r="E54" s="2"/>
      <c r="F54" s="2"/>
      <c r="G54" s="2"/>
    </row>
    <row r="55" spans="1:12">
      <c r="A55" s="1"/>
      <c r="B55" s="1"/>
      <c r="C55" s="2"/>
      <c r="D55" s="2"/>
      <c r="E55" s="2"/>
      <c r="F55" s="2">
        <f>SUM(F2:F51)</f>
        <v>710</v>
      </c>
      <c r="G55" s="2"/>
    </row>
    <row r="56" spans="1:12">
      <c r="A56" s="1"/>
      <c r="B56" s="1"/>
      <c r="C56" s="2"/>
      <c r="D56" s="2"/>
      <c r="E56" s="2"/>
      <c r="F56" s="2"/>
      <c r="G56" s="2"/>
    </row>
    <row r="57" spans="1:12">
      <c r="A57" s="1"/>
      <c r="B57" s="1"/>
      <c r="C57" s="2"/>
      <c r="D57" s="2"/>
      <c r="E57" s="2"/>
      <c r="F57" s="2"/>
      <c r="G57" s="2"/>
    </row>
    <row r="58" spans="1:12">
      <c r="A58" s="1"/>
      <c r="B58" s="1"/>
      <c r="C58" s="2"/>
      <c r="D58" s="2"/>
      <c r="E58" s="2"/>
      <c r="F58" s="2"/>
      <c r="G58" s="2"/>
    </row>
    <row r="59" spans="1:12">
      <c r="B59" s="1"/>
      <c r="C59" s="2"/>
      <c r="D59" s="2"/>
      <c r="E59" s="2"/>
      <c r="F59" s="2"/>
      <c r="G59" s="2"/>
    </row>
    <row r="61" spans="1:12">
      <c r="B61">
        <f>35+355+9+26+684+28+228+15+4</f>
        <v>1384</v>
      </c>
      <c r="E61" t="s">
        <v>119</v>
      </c>
      <c r="F61">
        <f>SUMIF(E2:E58,E61,F2:F58)</f>
        <v>225</v>
      </c>
      <c r="H61">
        <v>4</v>
      </c>
    </row>
    <row r="62" spans="1:12">
      <c r="E62" t="s">
        <v>120</v>
      </c>
      <c r="F62" s="28">
        <f>SUMIF(E3:E59,E62,F3:F59)</f>
        <v>187</v>
      </c>
      <c r="G62">
        <v>160</v>
      </c>
      <c r="H62">
        <v>4</v>
      </c>
      <c r="K62" t="s">
        <v>1481</v>
      </c>
      <c r="L62" t="s">
        <v>1482</v>
      </c>
    </row>
    <row r="63" spans="1:12">
      <c r="E63" t="s">
        <v>118</v>
      </c>
      <c r="F63">
        <f>SUMIF(E4:E60,E63,F4:F60)</f>
        <v>152</v>
      </c>
      <c r="G63">
        <v>57</v>
      </c>
      <c r="H63">
        <v>2</v>
      </c>
    </row>
    <row r="64" spans="1:12">
      <c r="E64" t="s">
        <v>121</v>
      </c>
      <c r="F64">
        <f>SUMIF(E5:E61,E64,F5:F61)</f>
        <v>143</v>
      </c>
      <c r="G64">
        <v>60</v>
      </c>
      <c r="H64">
        <v>2</v>
      </c>
    </row>
    <row r="66" spans="3:8" ht="69.95">
      <c r="D66" t="s">
        <v>120</v>
      </c>
      <c r="E66" s="29" t="s">
        <v>1483</v>
      </c>
      <c r="F66" s="30">
        <v>28</v>
      </c>
      <c r="H66" t="s">
        <v>121</v>
      </c>
    </row>
    <row r="67" spans="3:8" ht="84">
      <c r="E67" s="31" t="s">
        <v>1484</v>
      </c>
      <c r="F67" s="32">
        <v>18</v>
      </c>
      <c r="G67" s="32"/>
      <c r="H67" t="s">
        <v>121</v>
      </c>
    </row>
    <row r="68" spans="3:8" ht="56.1">
      <c r="E68" s="27" t="s">
        <v>1485</v>
      </c>
      <c r="F68">
        <v>50</v>
      </c>
      <c r="H68" t="s">
        <v>120</v>
      </c>
    </row>
    <row r="69" spans="3:8" ht="42">
      <c r="E69" s="31" t="s">
        <v>1486</v>
      </c>
      <c r="F69" s="32">
        <v>22</v>
      </c>
      <c r="G69" s="32"/>
      <c r="H69" t="s">
        <v>121</v>
      </c>
    </row>
    <row r="70" spans="3:8">
      <c r="C70">
        <f>83+76+135+57</f>
        <v>351</v>
      </c>
      <c r="E70" t="s">
        <v>1487</v>
      </c>
      <c r="F70" s="28">
        <v>118</v>
      </c>
    </row>
    <row r="73" spans="3:8">
      <c r="E73" t="s">
        <v>118</v>
      </c>
    </row>
    <row r="75" spans="3:8">
      <c r="E75" t="s">
        <v>1417</v>
      </c>
    </row>
  </sheetData>
  <autoFilter ref="A1:L75" xr:uid="{ECBC87B4-2E50-4E3E-8B9D-0658B852BEEB}"/>
  <mergeCells count="14">
    <mergeCell ref="A40:A51"/>
    <mergeCell ref="J16:J19"/>
    <mergeCell ref="A11:A19"/>
    <mergeCell ref="A20:A33"/>
    <mergeCell ref="A34:A39"/>
    <mergeCell ref="I11:I15"/>
    <mergeCell ref="I16:I19"/>
    <mergeCell ref="J11:J15"/>
    <mergeCell ref="A5:A10"/>
    <mergeCell ref="A2:A3"/>
    <mergeCell ref="I2:I6"/>
    <mergeCell ref="J2:J6"/>
    <mergeCell ref="I7:I10"/>
    <mergeCell ref="J7:J10"/>
  </mergeCells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CAD04-05B0-42D7-BEF6-D2456BBEA3CC}">
  <sheetPr codeName="Sheet11" filterMode="1"/>
  <dimension ref="A1:I52"/>
  <sheetViews>
    <sheetView topLeftCell="B1" zoomScale="85" zoomScaleNormal="85" workbookViewId="0">
      <selection activeCell="D2" sqref="D2"/>
    </sheetView>
  </sheetViews>
  <sheetFormatPr defaultRowHeight="16.5" customHeight="1"/>
  <cols>
    <col min="2" max="2" width="137.375" customWidth="1"/>
    <col min="3" max="3" width="13.375" bestFit="1" customWidth="1"/>
    <col min="4" max="4" width="6.375" bestFit="1" customWidth="1"/>
    <col min="5" max="5" width="13.375" customWidth="1"/>
    <col min="6" max="6" width="34" customWidth="1"/>
    <col min="7" max="7" width="20.375" customWidth="1"/>
    <col min="8" max="8" width="61.375" customWidth="1"/>
  </cols>
  <sheetData>
    <row r="1" spans="1:8" ht="16.5" customHeight="1">
      <c r="A1" s="14" t="s">
        <v>110</v>
      </c>
      <c r="B1" s="10" t="s">
        <v>111</v>
      </c>
      <c r="C1" s="10" t="s">
        <v>466</v>
      </c>
      <c r="D1" s="10" t="s">
        <v>50</v>
      </c>
      <c r="E1" s="10" t="s">
        <v>5</v>
      </c>
      <c r="F1" s="10" t="s">
        <v>1369</v>
      </c>
      <c r="G1" s="10" t="s">
        <v>789</v>
      </c>
    </row>
    <row r="2" spans="1:8" ht="16.5" customHeight="1">
      <c r="A2" s="18" t="s">
        <v>1488</v>
      </c>
      <c r="B2" s="23" t="s">
        <v>1489</v>
      </c>
      <c r="C2" s="2">
        <v>2</v>
      </c>
      <c r="D2" s="19" t="s">
        <v>122</v>
      </c>
      <c r="E2" s="2" t="s">
        <v>1490</v>
      </c>
      <c r="F2" s="2" t="s">
        <v>121</v>
      </c>
      <c r="G2" s="1">
        <v>0</v>
      </c>
    </row>
    <row r="3" spans="1:8" ht="14.1">
      <c r="A3" s="18" t="s">
        <v>1491</v>
      </c>
      <c r="B3" s="19" t="s">
        <v>1492</v>
      </c>
      <c r="C3" s="19">
        <v>2</v>
      </c>
      <c r="D3" s="19" t="s">
        <v>122</v>
      </c>
      <c r="E3" s="19" t="s">
        <v>1493</v>
      </c>
      <c r="F3" s="19" t="s">
        <v>119</v>
      </c>
      <c r="G3" s="1">
        <v>0</v>
      </c>
      <c r="H3" s="19" t="s">
        <v>1494</v>
      </c>
    </row>
    <row r="4" spans="1:8" ht="14.1">
      <c r="A4" s="18"/>
      <c r="B4" s="19" t="s">
        <v>1495</v>
      </c>
      <c r="C4" s="19">
        <v>2</v>
      </c>
      <c r="D4" s="19" t="s">
        <v>122</v>
      </c>
      <c r="E4" s="19" t="s">
        <v>1493</v>
      </c>
      <c r="F4" s="19" t="s">
        <v>120</v>
      </c>
      <c r="G4" s="1">
        <v>0</v>
      </c>
    </row>
    <row r="5" spans="1:8" ht="14.1">
      <c r="A5" s="18" t="s">
        <v>1496</v>
      </c>
      <c r="B5" s="2" t="s">
        <v>1497</v>
      </c>
      <c r="C5" s="2">
        <v>2</v>
      </c>
      <c r="D5" s="19" t="s">
        <v>116</v>
      </c>
      <c r="E5" s="2" t="s">
        <v>1490</v>
      </c>
      <c r="F5" s="2" t="s">
        <v>121</v>
      </c>
      <c r="G5" s="1">
        <v>2</v>
      </c>
    </row>
    <row r="6" spans="1:8" ht="16.5" customHeight="1">
      <c r="A6" s="18" t="s">
        <v>1498</v>
      </c>
      <c r="B6" s="2" t="s">
        <v>1499</v>
      </c>
      <c r="C6" s="2">
        <v>5</v>
      </c>
      <c r="D6" s="2" t="s">
        <v>278</v>
      </c>
      <c r="E6" s="2" t="s">
        <v>1500</v>
      </c>
      <c r="F6" s="2" t="s">
        <v>119</v>
      </c>
      <c r="G6" s="26">
        <v>3</v>
      </c>
    </row>
    <row r="7" spans="1:8" ht="14.1">
      <c r="A7" s="18" t="s">
        <v>1501</v>
      </c>
      <c r="B7" s="23" t="s">
        <v>1502</v>
      </c>
      <c r="C7" s="2"/>
      <c r="D7" s="19" t="s">
        <v>116</v>
      </c>
      <c r="E7" s="2" t="s">
        <v>343</v>
      </c>
      <c r="F7" s="2"/>
      <c r="G7" s="1">
        <v>0</v>
      </c>
    </row>
    <row r="8" spans="1:8" ht="16.5" customHeight="1">
      <c r="A8" s="18" t="s">
        <v>1503</v>
      </c>
      <c r="B8" s="2" t="s">
        <v>1504</v>
      </c>
      <c r="C8" s="2">
        <v>1</v>
      </c>
      <c r="D8" s="19" t="s">
        <v>122</v>
      </c>
      <c r="E8" s="2" t="s">
        <v>1490</v>
      </c>
      <c r="F8" s="2" t="s">
        <v>119</v>
      </c>
      <c r="G8" s="1">
        <v>6</v>
      </c>
    </row>
    <row r="9" spans="1:8" ht="16.5" customHeight="1">
      <c r="A9" s="18" t="s">
        <v>1505</v>
      </c>
      <c r="B9" s="2" t="s">
        <v>1506</v>
      </c>
      <c r="C9" s="2">
        <v>1</v>
      </c>
      <c r="D9" s="19" t="s">
        <v>122</v>
      </c>
      <c r="E9" s="2" t="s">
        <v>1490</v>
      </c>
      <c r="F9" s="2" t="s">
        <v>119</v>
      </c>
      <c r="G9" s="1">
        <v>4</v>
      </c>
    </row>
    <row r="10" spans="1:8" ht="16.5" customHeight="1">
      <c r="A10" s="18" t="s">
        <v>1507</v>
      </c>
      <c r="B10" s="19" t="s">
        <v>1508</v>
      </c>
      <c r="C10" s="19">
        <v>2</v>
      </c>
      <c r="D10" s="19" t="s">
        <v>122</v>
      </c>
      <c r="E10" s="19" t="s">
        <v>1490</v>
      </c>
      <c r="F10" s="19" t="s">
        <v>120</v>
      </c>
      <c r="G10" s="1">
        <v>1</v>
      </c>
      <c r="H10" t="s">
        <v>1509</v>
      </c>
    </row>
    <row r="11" spans="1:8" ht="14.1">
      <c r="A11" s="18" t="s">
        <v>1510</v>
      </c>
      <c r="B11" s="2" t="s">
        <v>1511</v>
      </c>
      <c r="C11" s="2">
        <v>1</v>
      </c>
      <c r="D11" s="19" t="s">
        <v>122</v>
      </c>
      <c r="E11" s="2" t="s">
        <v>1490</v>
      </c>
      <c r="F11" s="2" t="s">
        <v>119</v>
      </c>
      <c r="G11" s="1">
        <v>7</v>
      </c>
    </row>
    <row r="12" spans="1:8" ht="14.1">
      <c r="A12" s="18" t="s">
        <v>1512</v>
      </c>
      <c r="B12" s="2" t="s">
        <v>1513</v>
      </c>
      <c r="C12" s="2">
        <v>1</v>
      </c>
      <c r="D12" s="19" t="s">
        <v>122</v>
      </c>
      <c r="E12" s="2" t="s">
        <v>1490</v>
      </c>
      <c r="F12" s="2" t="s">
        <v>119</v>
      </c>
      <c r="G12" s="26">
        <v>11</v>
      </c>
    </row>
    <row r="13" spans="1:8" ht="16.5" customHeight="1">
      <c r="A13" s="18" t="s">
        <v>1514</v>
      </c>
      <c r="B13" s="2" t="s">
        <v>1515</v>
      </c>
      <c r="C13" s="2">
        <v>3</v>
      </c>
      <c r="D13" s="19" t="s">
        <v>122</v>
      </c>
      <c r="E13" s="2" t="s">
        <v>1490</v>
      </c>
      <c r="F13" s="2" t="s">
        <v>120</v>
      </c>
      <c r="G13" s="1">
        <v>7</v>
      </c>
    </row>
    <row r="14" spans="1:8" ht="16.5" customHeight="1">
      <c r="A14" s="18" t="s">
        <v>1516</v>
      </c>
      <c r="B14" s="2" t="s">
        <v>1517</v>
      </c>
      <c r="C14" s="14">
        <v>2</v>
      </c>
      <c r="D14" s="14" t="s">
        <v>256</v>
      </c>
      <c r="E14" s="2" t="s">
        <v>1490</v>
      </c>
      <c r="F14" s="2" t="s">
        <v>120</v>
      </c>
      <c r="G14" s="1">
        <v>4</v>
      </c>
    </row>
    <row r="15" spans="1:8" ht="16.5" customHeight="1">
      <c r="A15" s="18" t="s">
        <v>1518</v>
      </c>
      <c r="B15" s="22" t="s">
        <v>1519</v>
      </c>
      <c r="C15" s="21">
        <v>3</v>
      </c>
      <c r="D15" s="14">
        <v>2</v>
      </c>
      <c r="E15" s="16" t="s">
        <v>1520</v>
      </c>
      <c r="F15" s="2"/>
      <c r="G15" s="1"/>
    </row>
    <row r="16" spans="1:8" ht="16.5" customHeight="1">
      <c r="A16" s="18" t="s">
        <v>1521</v>
      </c>
      <c r="B16" s="22" t="s">
        <v>1522</v>
      </c>
      <c r="C16" s="21">
        <v>2</v>
      </c>
      <c r="D16" s="14">
        <v>1</v>
      </c>
      <c r="E16" s="16" t="s">
        <v>1520</v>
      </c>
      <c r="F16" s="2"/>
      <c r="G16" s="1"/>
    </row>
    <row r="17" spans="1:9" ht="16.5" customHeight="1">
      <c r="A17" s="18" t="s">
        <v>1523</v>
      </c>
      <c r="B17" s="24" t="s">
        <v>1524</v>
      </c>
      <c r="C17" s="9">
        <v>3</v>
      </c>
      <c r="D17" s="14">
        <v>3</v>
      </c>
      <c r="E17" s="2" t="s">
        <v>1520</v>
      </c>
      <c r="F17" s="2" t="s">
        <v>119</v>
      </c>
      <c r="G17" s="1"/>
      <c r="H17" t="s">
        <v>1525</v>
      </c>
      <c r="I17" t="s">
        <v>1526</v>
      </c>
    </row>
    <row r="18" spans="1:9" ht="16.5" customHeight="1">
      <c r="A18" s="18" t="s">
        <v>1527</v>
      </c>
      <c r="B18" s="23" t="s">
        <v>1528</v>
      </c>
      <c r="C18" s="2">
        <v>2</v>
      </c>
      <c r="D18" s="14">
        <v>4</v>
      </c>
      <c r="E18" s="2" t="s">
        <v>1520</v>
      </c>
      <c r="F18" s="2"/>
      <c r="G18" s="1"/>
    </row>
    <row r="19" spans="1:9" ht="16.5" customHeight="1">
      <c r="A19" s="18" t="s">
        <v>1529</v>
      </c>
      <c r="B19" s="23" t="s">
        <v>1530</v>
      </c>
      <c r="C19" s="2">
        <v>5</v>
      </c>
      <c r="D19" s="2">
        <v>1</v>
      </c>
      <c r="E19" s="2" t="s">
        <v>1520</v>
      </c>
      <c r="F19" s="2"/>
      <c r="G19" s="1"/>
    </row>
    <row r="20" spans="1:9" ht="16.5" customHeight="1">
      <c r="A20" s="18" t="s">
        <v>1531</v>
      </c>
      <c r="B20" s="23" t="s">
        <v>1532</v>
      </c>
      <c r="C20" s="2">
        <v>8</v>
      </c>
      <c r="D20" s="2">
        <v>2</v>
      </c>
      <c r="E20" s="2" t="s">
        <v>1520</v>
      </c>
      <c r="F20" s="2"/>
      <c r="G20" s="1"/>
    </row>
    <row r="21" spans="1:9" ht="16.5" customHeight="1">
      <c r="A21" s="18" t="s">
        <v>1533</v>
      </c>
      <c r="B21" s="23" t="s">
        <v>1534</v>
      </c>
      <c r="C21" s="2">
        <v>1</v>
      </c>
      <c r="D21" s="2">
        <v>2</v>
      </c>
      <c r="E21" s="2" t="s">
        <v>1535</v>
      </c>
      <c r="F21" s="2"/>
      <c r="G21" s="1"/>
    </row>
    <row r="22" spans="1:9" ht="16.5" customHeight="1">
      <c r="A22" s="18" t="s">
        <v>1536</v>
      </c>
      <c r="B22" s="23" t="s">
        <v>1537</v>
      </c>
      <c r="C22" s="2">
        <v>5</v>
      </c>
      <c r="D22" s="2">
        <v>3</v>
      </c>
      <c r="E22" s="2" t="s">
        <v>1520</v>
      </c>
      <c r="F22" s="2"/>
      <c r="G22" s="1"/>
    </row>
    <row r="23" spans="1:9" ht="16.5" customHeight="1">
      <c r="A23" s="18" t="s">
        <v>1538</v>
      </c>
      <c r="B23" s="23" t="s">
        <v>1539</v>
      </c>
      <c r="C23" s="2">
        <v>5</v>
      </c>
      <c r="D23" s="2">
        <v>4</v>
      </c>
      <c r="E23" s="2" t="s">
        <v>1520</v>
      </c>
      <c r="F23" s="2"/>
      <c r="G23" s="1"/>
    </row>
    <row r="24" spans="1:9" ht="16.5" customHeight="1">
      <c r="A24" s="18" t="s">
        <v>1540</v>
      </c>
      <c r="B24" s="24" t="s">
        <v>1541</v>
      </c>
      <c r="C24" s="2">
        <v>2</v>
      </c>
      <c r="D24" s="2">
        <v>4</v>
      </c>
      <c r="E24" s="2" t="s">
        <v>1520</v>
      </c>
      <c r="F24" s="2"/>
      <c r="G24" s="1"/>
      <c r="H24" s="430" t="s">
        <v>1542</v>
      </c>
    </row>
    <row r="25" spans="1:9" ht="16.5" customHeight="1">
      <c r="A25" s="18" t="s">
        <v>1543</v>
      </c>
      <c r="B25" s="24" t="s">
        <v>1544</v>
      </c>
      <c r="C25" s="2">
        <v>2</v>
      </c>
      <c r="D25" s="2">
        <v>4</v>
      </c>
      <c r="E25" s="2" t="s">
        <v>1520</v>
      </c>
      <c r="F25" s="2"/>
      <c r="G25" s="1"/>
      <c r="H25" s="430"/>
    </row>
    <row r="26" spans="1:9" ht="16.5" customHeight="1">
      <c r="A26" s="18" t="s">
        <v>1545</v>
      </c>
      <c r="B26" s="24" t="s">
        <v>1546</v>
      </c>
      <c r="C26" s="2">
        <v>5</v>
      </c>
      <c r="D26" s="2">
        <v>4</v>
      </c>
      <c r="E26" s="2" t="s">
        <v>1520</v>
      </c>
      <c r="F26" s="2"/>
      <c r="G26" s="1"/>
      <c r="H26" s="430"/>
    </row>
    <row r="27" spans="1:9" ht="16.5" customHeight="1">
      <c r="A27" s="18" t="s">
        <v>1547</v>
      </c>
      <c r="B27" s="24" t="s">
        <v>1548</v>
      </c>
      <c r="C27" s="2">
        <v>1</v>
      </c>
      <c r="D27" s="2">
        <v>1</v>
      </c>
      <c r="E27" s="2" t="s">
        <v>1520</v>
      </c>
      <c r="F27" s="2"/>
      <c r="G27" s="1"/>
      <c r="H27" t="s">
        <v>1549</v>
      </c>
    </row>
    <row r="28" spans="1:9" ht="16.5" customHeight="1">
      <c r="A28" s="18" t="s">
        <v>1550</v>
      </c>
      <c r="B28" s="23" t="s">
        <v>1551</v>
      </c>
      <c r="C28" s="2">
        <v>3</v>
      </c>
      <c r="D28" s="2">
        <v>2</v>
      </c>
      <c r="E28" s="2" t="s">
        <v>1520</v>
      </c>
      <c r="F28" s="2"/>
      <c r="G28" s="1"/>
    </row>
    <row r="29" spans="1:9" ht="16.5" customHeight="1">
      <c r="A29" s="18" t="s">
        <v>1552</v>
      </c>
      <c r="B29" s="23" t="s">
        <v>1553</v>
      </c>
      <c r="C29" s="2">
        <v>3</v>
      </c>
      <c r="D29" s="2">
        <v>2</v>
      </c>
      <c r="E29" s="2" t="s">
        <v>1520</v>
      </c>
      <c r="F29" s="2"/>
      <c r="G29" s="1"/>
    </row>
    <row r="30" spans="1:9" ht="16.5" customHeight="1">
      <c r="A30" s="18" t="s">
        <v>1554</v>
      </c>
      <c r="B30" s="23" t="s">
        <v>1555</v>
      </c>
      <c r="C30" s="2">
        <v>3</v>
      </c>
      <c r="D30" s="2">
        <v>2</v>
      </c>
      <c r="E30" s="2" t="s">
        <v>1520</v>
      </c>
      <c r="F30" s="2"/>
      <c r="G30" s="1"/>
    </row>
    <row r="31" spans="1:9" ht="16.5" customHeight="1">
      <c r="A31" s="18" t="s">
        <v>1556</v>
      </c>
      <c r="B31" s="23" t="s">
        <v>1557</v>
      </c>
      <c r="C31" s="2">
        <v>2</v>
      </c>
      <c r="D31" s="2">
        <v>2</v>
      </c>
      <c r="E31" s="2" t="s">
        <v>1520</v>
      </c>
      <c r="F31" s="2"/>
      <c r="G31" s="1"/>
    </row>
    <row r="32" spans="1:9" ht="16.5" customHeight="1">
      <c r="A32" s="18" t="s">
        <v>1558</v>
      </c>
      <c r="B32" s="23" t="s">
        <v>1559</v>
      </c>
      <c r="C32" s="2">
        <v>1</v>
      </c>
      <c r="D32" s="2">
        <v>2</v>
      </c>
      <c r="E32" s="2" t="s">
        <v>1520</v>
      </c>
      <c r="F32" s="2"/>
      <c r="G32" s="1"/>
    </row>
    <row r="33" spans="1:8" ht="30" customHeight="1">
      <c r="A33" s="18" t="s">
        <v>1560</v>
      </c>
      <c r="B33" s="24" t="s">
        <v>1561</v>
      </c>
      <c r="C33" s="2">
        <v>5</v>
      </c>
      <c r="D33" s="2" t="s">
        <v>156</v>
      </c>
      <c r="E33" s="2" t="s">
        <v>1490</v>
      </c>
      <c r="F33" s="2" t="s">
        <v>1562</v>
      </c>
      <c r="G33" s="1">
        <v>32</v>
      </c>
      <c r="H33" t="s">
        <v>1563</v>
      </c>
    </row>
    <row r="34" spans="1:8" ht="16.5" customHeight="1">
      <c r="A34" s="18" t="s">
        <v>1564</v>
      </c>
      <c r="B34" s="23" t="s">
        <v>1565</v>
      </c>
      <c r="C34" s="2">
        <v>2</v>
      </c>
      <c r="D34" s="2">
        <v>3</v>
      </c>
      <c r="E34" s="2" t="s">
        <v>1490</v>
      </c>
      <c r="F34" s="2"/>
      <c r="G34" s="1"/>
    </row>
    <row r="35" spans="1:8" ht="16.5" hidden="1" customHeight="1">
      <c r="A35" s="25" t="s">
        <v>1566</v>
      </c>
      <c r="B35" s="2" t="s">
        <v>1567</v>
      </c>
      <c r="C35" s="2"/>
      <c r="D35" s="2" t="s">
        <v>278</v>
      </c>
      <c r="E35" s="2" t="s">
        <v>44</v>
      </c>
      <c r="F35" s="2"/>
      <c r="G35" s="1">
        <v>8</v>
      </c>
    </row>
    <row r="36" spans="1:8" ht="14.1" hidden="1">
      <c r="A36" s="25" t="s">
        <v>1568</v>
      </c>
      <c r="B36" s="2" t="s">
        <v>1569</v>
      </c>
      <c r="C36" s="2"/>
      <c r="D36" s="2" t="s">
        <v>278</v>
      </c>
      <c r="E36" s="2" t="s">
        <v>44</v>
      </c>
      <c r="F36" s="2"/>
      <c r="G36" s="1"/>
    </row>
    <row r="37" spans="1:8" ht="14.1" hidden="1">
      <c r="A37" s="18" t="s">
        <v>1334</v>
      </c>
      <c r="B37" s="2" t="s">
        <v>1570</v>
      </c>
      <c r="C37" s="2"/>
      <c r="D37" s="2"/>
      <c r="E37" s="2" t="s">
        <v>44</v>
      </c>
      <c r="F37" s="2"/>
      <c r="G37" s="1"/>
    </row>
    <row r="38" spans="1:8" ht="14.1">
      <c r="A38" s="18" t="s">
        <v>1571</v>
      </c>
      <c r="B38" s="2" t="s">
        <v>1572</v>
      </c>
      <c r="C38" s="2"/>
      <c r="D38" s="2" t="s">
        <v>156</v>
      </c>
      <c r="E38" s="2" t="s">
        <v>1490</v>
      </c>
      <c r="F38" s="2" t="s">
        <v>120</v>
      </c>
      <c r="G38" s="1">
        <v>0</v>
      </c>
      <c r="H38" s="2" t="s">
        <v>1573</v>
      </c>
    </row>
    <row r="39" spans="1:8" ht="14.1" hidden="1">
      <c r="A39" s="18" t="s">
        <v>1275</v>
      </c>
      <c r="B39" s="2" t="s">
        <v>1574</v>
      </c>
      <c r="C39" s="2"/>
      <c r="D39" s="2"/>
      <c r="E39" s="2" t="s">
        <v>44</v>
      </c>
      <c r="F39" s="2"/>
      <c r="G39" s="1"/>
    </row>
    <row r="40" spans="1:8" ht="16.5" hidden="1" customHeight="1">
      <c r="A40" s="18" t="s">
        <v>1083</v>
      </c>
      <c r="B40" s="2" t="s">
        <v>1575</v>
      </c>
      <c r="C40" s="2">
        <v>5</v>
      </c>
      <c r="D40" s="2"/>
      <c r="E40" s="2" t="s">
        <v>44</v>
      </c>
      <c r="F40" s="2"/>
      <c r="G40" s="1"/>
    </row>
    <row r="41" spans="1:8" ht="16.5" hidden="1" customHeight="1">
      <c r="A41" s="18" t="s">
        <v>1576</v>
      </c>
      <c r="B41" s="2" t="s">
        <v>1577</v>
      </c>
      <c r="C41" s="2"/>
      <c r="D41" s="2"/>
      <c r="E41" s="2" t="s">
        <v>44</v>
      </c>
      <c r="F41" s="2"/>
      <c r="G41" s="1"/>
    </row>
    <row r="42" spans="1:8" ht="16.5" hidden="1" customHeight="1">
      <c r="A42" s="18" t="s">
        <v>1578</v>
      </c>
      <c r="B42" s="2" t="s">
        <v>1579</v>
      </c>
      <c r="C42" s="2"/>
      <c r="D42" s="2"/>
      <c r="E42" s="2" t="s">
        <v>44</v>
      </c>
      <c r="F42" s="2"/>
      <c r="G42" s="1"/>
    </row>
    <row r="43" spans="1:8" ht="16.5" hidden="1" customHeight="1">
      <c r="C43">
        <f>SUM(C2:C41)</f>
        <v>92</v>
      </c>
    </row>
    <row r="47" spans="1:8" ht="16.5" customHeight="1">
      <c r="F47" t="s">
        <v>119</v>
      </c>
      <c r="G47">
        <f>SUMIF(F2:F45,F47,G2:G47)</f>
        <v>31</v>
      </c>
    </row>
    <row r="48" spans="1:8" ht="16.5" customHeight="1">
      <c r="F48" t="s">
        <v>120</v>
      </c>
      <c r="G48">
        <v>24</v>
      </c>
      <c r="H48" t="s">
        <v>1580</v>
      </c>
    </row>
    <row r="49" spans="6:7" ht="16.5" customHeight="1">
      <c r="F49" t="s">
        <v>118</v>
      </c>
      <c r="G49" t="s">
        <v>1581</v>
      </c>
    </row>
    <row r="50" spans="6:7" ht="16.5" customHeight="1">
      <c r="F50" t="s">
        <v>121</v>
      </c>
      <c r="G50">
        <f>SUMIF(F5:F48,F50,G5:G50)</f>
        <v>2</v>
      </c>
    </row>
    <row r="52" spans="6:7" ht="16.5" customHeight="1">
      <c r="F52" t="s">
        <v>1582</v>
      </c>
    </row>
  </sheetData>
  <autoFilter ref="A1:I43" xr:uid="{B6BCAD04-05B0-42D7-BEF6-D2456BBEA3CC}">
    <filterColumn colId="4">
      <filters>
        <filter val="Closed"/>
        <filter val="Done"/>
        <filter val="In Progress"/>
        <filter val="Ready for QA"/>
      </filters>
    </filterColumn>
  </autoFilter>
  <mergeCells count="1">
    <mergeCell ref="H24:H26"/>
  </mergeCells>
  <hyperlinks>
    <hyperlink ref="A2" r:id="rId1" display="https://jira.wiley.com/browse/CT-7727" xr:uid="{F15E8776-84B7-4B9E-BB8D-03AFA9ECB3F9}"/>
    <hyperlink ref="A3" r:id="rId2" display="https://jira.wiley.com/browse/CT-7728" xr:uid="{5CEB8DAB-1FE7-41E8-9D60-31BDFDD81DBE}"/>
    <hyperlink ref="A5" r:id="rId3" display="https://jira.wiley.com/browse/CT-7595" xr:uid="{372FCD29-9FED-4CEC-B3F6-2E9DFD8FD795}"/>
    <hyperlink ref="A6" r:id="rId4" display="https://jira.wiley.com/browse/CT-7600" xr:uid="{F12B0EE0-0672-4183-94DD-10075E824C29}"/>
    <hyperlink ref="A7" r:id="rId5" display="https://jira.wiley.com/browse/CT-7570" xr:uid="{522DDC68-9CD3-43E3-8D3F-5F2C868E87B0}"/>
    <hyperlink ref="A8" r:id="rId6" display="https://jira.wiley.com/browse/CT-7705" xr:uid="{41A48D6F-6415-4CBE-855C-64BE36C2B1F8}"/>
    <hyperlink ref="A9" r:id="rId7" display="https://jira.wiley.com/browse/CT-7706" xr:uid="{F5D84A30-6068-4A56-82C7-3DAAF2954920}"/>
    <hyperlink ref="A10" r:id="rId8" display="https://jira.wiley.com/browse/CT-7709" xr:uid="{06077BD5-0760-4559-AD6A-1ED6C325BF1D}"/>
    <hyperlink ref="A11" r:id="rId9" display="https://jira.wiley.com/browse/CT-7712" xr:uid="{F2D7C869-73AD-4679-9069-323EA7F6A9E4}"/>
    <hyperlink ref="A12" r:id="rId10" display="https://jira.wiley.com/browse/CT-7716" xr:uid="{96EFBC9B-AA09-4DA9-BA51-E030928F50A6}"/>
    <hyperlink ref="A13" r:id="rId11" display="https://jira.wiley.com/browse/CT-7720" xr:uid="{06BD284A-9366-4AF0-93EC-5A4A9A358E6E}"/>
    <hyperlink ref="A14" r:id="rId12" display="https://jira.wiley.com/browse/CT-7724" xr:uid="{B66A42DA-0B42-45B5-AD06-388248AC52E0}"/>
    <hyperlink ref="A37" r:id="rId13" display="https://jira.wiley.com/browse/CT-7711" xr:uid="{4F2A3017-7218-4197-BBEB-9876F51AD4C7}"/>
    <hyperlink ref="A38" r:id="rId14" display="https://jira.wiley.com/browse/CT-7713" xr:uid="{6FA04BF8-1ED4-4230-B773-724D1179DCC4}"/>
    <hyperlink ref="A39" r:id="rId15" display="https://jira.wiley.com/browse/CT-7715" xr:uid="{605DB0F3-4099-478D-8368-B73D09ED42C4}"/>
    <hyperlink ref="A40" r:id="rId16" display="https://jira.wiley.com/browse/CT-7718" xr:uid="{9713E680-25A7-4E06-9896-76C5A4990AB2}"/>
    <hyperlink ref="A42" r:id="rId17" display="https://jira.wiley.com/browse/CT-7804" xr:uid="{E9B09157-5C25-48E5-ADFE-2BB82263709A}"/>
    <hyperlink ref="A41" r:id="rId18" display="https://jira.wiley.com/browse/CT-7723" xr:uid="{4DA78AF6-8262-4686-AA11-E30EF9FAC1F6}"/>
    <hyperlink ref="A15" r:id="rId19" xr:uid="{261B95A9-81B3-49B0-A80E-41436193CD6C}"/>
    <hyperlink ref="A16" r:id="rId20" xr:uid="{F6FB4030-AA55-4C1E-B3A9-51F6C0C47DA7}"/>
    <hyperlink ref="A17" r:id="rId21" xr:uid="{9FE603AA-8EEF-44A8-AE8D-80E8C1AFB628}"/>
    <hyperlink ref="A18" r:id="rId22" xr:uid="{7AB622A4-6C0A-4006-B4DD-EBF4FDFCD617}"/>
    <hyperlink ref="A36" r:id="rId23" display="https://jira.wiley.com/browse/CT-7726" xr:uid="{40AA0806-E351-4A18-821B-408F70EAF6A6}"/>
    <hyperlink ref="A35" r:id="rId24" display="https://jira.wiley.com/browse/CT-7725" xr:uid="{7A89CAE1-C9FB-440C-9AEA-C5FF33A62708}"/>
    <hyperlink ref="A19" r:id="rId25" xr:uid="{2237EC42-AAC5-48A3-A7B6-1335404ED1E1}"/>
    <hyperlink ref="A20" r:id="rId26" xr:uid="{50CAD071-79AA-4386-B440-49421DBC0930}"/>
    <hyperlink ref="A21" r:id="rId27" xr:uid="{ED8FA9D5-38C7-41BB-8139-B738D2011DC4}"/>
    <hyperlink ref="A22" r:id="rId28" xr:uid="{1A3E810A-57D1-4BCF-B116-8295B0087C22}"/>
    <hyperlink ref="A23" r:id="rId29" xr:uid="{57759D32-DE04-4B8A-B7C9-2EA131D2C351}"/>
    <hyperlink ref="A24" r:id="rId30" xr:uid="{337E0E52-6937-444E-89F6-E3FED55402F5}"/>
    <hyperlink ref="A25" r:id="rId31" xr:uid="{DAEDB933-CE48-45F9-9E55-BC3F1498B922}"/>
    <hyperlink ref="A26" r:id="rId32" xr:uid="{F0792B6A-849E-42DB-B3E1-1FBC6CE2ACE2}"/>
    <hyperlink ref="A27" r:id="rId33" xr:uid="{B623D4B1-39A1-47EE-83CB-2A8EFBCC33BE}"/>
    <hyperlink ref="A28" r:id="rId34" xr:uid="{75AEF6E0-B079-4A19-BF0F-4C376A1B2EF6}"/>
    <hyperlink ref="A29" r:id="rId35" xr:uid="{940FA04A-DEFD-43BB-B7D1-910635B04E8C}"/>
    <hyperlink ref="A30" r:id="rId36" xr:uid="{CD66F6F4-DB54-4326-8810-1F73A8781BDA}"/>
    <hyperlink ref="A31" r:id="rId37" xr:uid="{D59AF0F5-8E15-4A41-AD1E-D115FAE9755D}"/>
    <hyperlink ref="A32" r:id="rId38" xr:uid="{5715E5CF-A625-46BB-984B-1F1A2B47F2F9}"/>
    <hyperlink ref="A33" r:id="rId39" xr:uid="{D0219D4D-0C55-439F-81CB-D1D73A7103E9}"/>
    <hyperlink ref="A34" r:id="rId40" xr:uid="{10CE2DF0-7039-4717-BDB5-A556E57EAF68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1A4A4AF314954BB0168B066FBC2CBE" ma:contentTypeVersion="17" ma:contentTypeDescription="Create a new document." ma:contentTypeScope="" ma:versionID="0e737c09fecbbd2bd5e69c7db4973bde">
  <xsd:schema xmlns:xsd="http://www.w3.org/2001/XMLSchema" xmlns:xs="http://www.w3.org/2001/XMLSchema" xmlns:p="http://schemas.microsoft.com/office/2006/metadata/properties" xmlns:ns1="http://schemas.microsoft.com/sharepoint/v3" xmlns:ns2="706b23fd-2297-4d3c-a85b-4ae158b8f584" xmlns:ns3="1831dd07-2031-4ee1-bd56-afc1b9c1265c" targetNamespace="http://schemas.microsoft.com/office/2006/metadata/properties" ma:root="true" ma:fieldsID="856b1e6999487cb1f601e1f790b26839" ns1:_="" ns2:_="" ns3:_="">
    <xsd:import namespace="http://schemas.microsoft.com/sharepoint/v3"/>
    <xsd:import namespace="706b23fd-2297-4d3c-a85b-4ae158b8f584"/>
    <xsd:import namespace="1831dd07-2031-4ee1-bd56-afc1b9c126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6b23fd-2297-4d3c-a85b-4ae158b8f5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87414def-154c-4d25-b3bb-ada8546948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31dd07-2031-4ee1-bd56-afc1b9c1265c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772db712-f797-475f-a321-79927aa8878f}" ma:internalName="TaxCatchAll" ma:showField="CatchAllData" ma:web="1831dd07-2031-4ee1-bd56-afc1b9c126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06b23fd-2297-4d3c-a85b-4ae158b8f584">
      <Terms xmlns="http://schemas.microsoft.com/office/infopath/2007/PartnerControls"/>
    </lcf76f155ced4ddcb4097134ff3c332f>
    <TaxCatchAll xmlns="1831dd07-2031-4ee1-bd56-afc1b9c1265c" xsi:nil="true"/>
  </documentManagement>
</p:properties>
</file>

<file path=customXml/itemProps1.xml><?xml version="1.0" encoding="utf-8"?>
<ds:datastoreItem xmlns:ds="http://schemas.openxmlformats.org/officeDocument/2006/customXml" ds:itemID="{9A85E209-D6BB-468D-8EF0-D01D24093D65}"/>
</file>

<file path=customXml/itemProps2.xml><?xml version="1.0" encoding="utf-8"?>
<ds:datastoreItem xmlns:ds="http://schemas.openxmlformats.org/officeDocument/2006/customXml" ds:itemID="{14B4962E-1AD6-4D9B-AE94-8321424A805E}"/>
</file>

<file path=customXml/itemProps3.xml><?xml version="1.0" encoding="utf-8"?>
<ds:datastoreItem xmlns:ds="http://schemas.openxmlformats.org/officeDocument/2006/customXml" ds:itemID="{284C1E2A-D7B5-44C8-AD3C-E349F282E0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Tian, Lili</dc:creator>
  <cp:keywords/>
  <dc:description/>
  <cp:lastModifiedBy/>
  <cp:revision/>
  <dcterms:created xsi:type="dcterms:W3CDTF">2015-06-05T18:17:20Z</dcterms:created>
  <dcterms:modified xsi:type="dcterms:W3CDTF">2026-04-30T07:26:08Z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0x010100A61A4A4AF314954BB0168B066FBC2CBE</vt:lpwstr>
  </property>
  <property fmtid="{D5CDD505-2E9C-101B-9397-08002B2CF9AE}" pid="3" name="MediaServiceImageTags">
    <vt:lpwstr/>
  </property>
</Properties>
</file>